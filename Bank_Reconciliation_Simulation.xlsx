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56" documentId="11_0B1D56BE9CDCCE836B02CE7A5FB0D4A9BBFD1C62" xr6:coauthVersionLast="47" xr6:coauthVersionMax="47" xr10:uidLastSave="{6CA25C08-1362-48B8-9D85-799EE4E4A3C7}"/>
  <bookViews>
    <workbookView xWindow="240" yWindow="105" windowWidth="14805" windowHeight="8010" xr2:uid="{00000000-000D-0000-FFFF-FFFF00000000}"/>
  </bookViews>
  <sheets>
    <sheet name="Bank Re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2" i="1"/>
  <c r="F2" i="1" s="1"/>
</calcChain>
</file>

<file path=xl/sharedStrings.xml><?xml version="1.0" encoding="utf-8"?>
<sst xmlns="http://schemas.openxmlformats.org/spreadsheetml/2006/main" count="60" uniqueCount="42">
  <si>
    <t xml:space="preserve">Particulars </t>
  </si>
  <si>
    <t xml:space="preserve"> Amount as per Books </t>
  </si>
  <si>
    <t xml:space="preserve"> Amount as per Bank </t>
  </si>
  <si>
    <t xml:space="preserve"> Difference </t>
  </si>
  <si>
    <t xml:space="preserve"> Tolerance Limit </t>
  </si>
  <si>
    <t xml:space="preserve"> Within Tolerance (Y/N) </t>
  </si>
  <si>
    <t xml:space="preserve"> Reconciling Item Type </t>
  </si>
  <si>
    <t xml:space="preserve"> Supporting Verified (Y/N) </t>
  </si>
  <si>
    <t xml:space="preserve"> Assertion Tested </t>
  </si>
  <si>
    <t xml:space="preserve"> Observation </t>
  </si>
  <si>
    <t>Proposed Adjustments/Actions</t>
  </si>
  <si>
    <t xml:space="preserve"> Conclusion</t>
  </si>
  <si>
    <t xml:space="preserve">Opening Balance </t>
  </si>
  <si>
    <t xml:space="preserve"> NA </t>
  </si>
  <si>
    <t xml:space="preserve"> Y </t>
  </si>
  <si>
    <t xml:space="preserve"> Existence, Accuracy </t>
  </si>
  <si>
    <t xml:space="preserve"> No difference </t>
  </si>
  <si>
    <t xml:space="preserve"> Balance matches</t>
  </si>
  <si>
    <t xml:space="preserve">Cheques Issued Not Presented </t>
  </si>
  <si>
    <t xml:space="preserve"> Timing Difference </t>
  </si>
  <si>
    <t xml:space="preserve"> Completeness </t>
  </si>
  <si>
    <t xml:space="preserve"> Outstanding cheques </t>
  </si>
  <si>
    <t>No adjustment (timing difference)</t>
  </si>
  <si>
    <t>Exception identified; adjustment proposed and pending management action</t>
  </si>
  <si>
    <t xml:space="preserve">Cheques Deposited Not Cleared </t>
  </si>
  <si>
    <t xml:space="preserve"> Deposits in transit </t>
  </si>
  <si>
    <t xml:space="preserve">Bank Charges </t>
  </si>
  <si>
    <t xml:space="preserve"> Expense Difference </t>
  </si>
  <si>
    <t xml:space="preserve"> Accuracy </t>
  </si>
  <si>
    <t xml:space="preserve"> Minor difference </t>
  </si>
  <si>
    <t xml:space="preserve"> Within tolerance</t>
  </si>
  <si>
    <t xml:space="preserve">Interest Income </t>
  </si>
  <si>
    <t xml:space="preserve"> Missing Entry </t>
  </si>
  <si>
    <t xml:space="preserve"> Not recorded in books </t>
  </si>
  <si>
    <t>Record ₹3000 in books</t>
  </si>
  <si>
    <t xml:space="preserve">Unrecorded Payment </t>
  </si>
  <si>
    <t xml:space="preserve"> Payment not recorded </t>
  </si>
  <si>
    <t>Record ₹5000 payment in books</t>
  </si>
  <si>
    <t xml:space="preserve">Closing Balance </t>
  </si>
  <si>
    <t xml:space="preserve"> Difference exists </t>
  </si>
  <si>
    <t>Investigate ₹2500 difference and reconcile</t>
  </si>
  <si>
    <t>Conclusion: Bank reconciliation identified timing differences and unrecorded entries. Adjustments are required for completeness and accuracy of cash balances.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</si>
</sst>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E1" workbookViewId="0">
      <selection activeCell="L1" sqref="L1:L8"/>
    </sheetView>
  </sheetViews>
  <sheetFormatPr defaultRowHeight="15"/>
  <cols>
    <col min="1" max="1" width="36.5703125" bestFit="1" customWidth="1"/>
    <col min="2" max="2" width="19.5703125" bestFit="1" customWidth="1"/>
    <col min="3" max="3" width="18.7109375" bestFit="1" customWidth="1"/>
    <col min="4" max="4" width="10.5703125" bestFit="1" customWidth="1"/>
    <col min="6" max="6" width="20.85546875" bestFit="1" customWidth="1"/>
    <col min="7" max="7" width="20.28515625" bestFit="1" customWidth="1"/>
    <col min="8" max="8" width="22.7109375" bestFit="1" customWidth="1"/>
    <col min="9" max="9" width="18.7109375" bestFit="1" customWidth="1"/>
    <col min="10" max="10" width="19.85546875" bestFit="1" customWidth="1"/>
    <col min="11" max="12" width="36.5703125" bestFit="1" customWidth="1"/>
  </cols>
  <sheetData>
    <row r="1" spans="1:12" s="6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</row>
    <row r="2" spans="1:12">
      <c r="A2" s="2" t="s">
        <v>12</v>
      </c>
      <c r="B2" s="3">
        <v>150000</v>
      </c>
      <c r="C2" s="3">
        <v>150000</v>
      </c>
      <c r="D2" s="3">
        <f>ABS(B2-C2)</f>
        <v>0</v>
      </c>
      <c r="E2" s="3">
        <v>1000</v>
      </c>
      <c r="F2" s="3" t="str">
        <f>IF(D2&lt;=E2,"Y","N")</f>
        <v>Y</v>
      </c>
      <c r="G2" s="3" t="s">
        <v>13</v>
      </c>
      <c r="H2" s="3" t="s">
        <v>14</v>
      </c>
      <c r="I2" s="3" t="s">
        <v>15</v>
      </c>
      <c r="J2" s="3" t="s">
        <v>16</v>
      </c>
      <c r="K2" s="8"/>
      <c r="L2" s="3" t="s">
        <v>17</v>
      </c>
    </row>
    <row r="3" spans="1:12" ht="43.5">
      <c r="A3" s="2" t="s">
        <v>18</v>
      </c>
      <c r="B3" s="3">
        <v>-20000</v>
      </c>
      <c r="C3" s="3">
        <v>0</v>
      </c>
      <c r="D3" s="3">
        <f t="shared" ref="D3:D8" si="0">ABS(B3-C3)</f>
        <v>20000</v>
      </c>
      <c r="E3" s="3">
        <v>1000</v>
      </c>
      <c r="F3" s="3" t="str">
        <f t="shared" ref="F3:F8" si="1">IF(D3&lt;=E3,"Y","N")</f>
        <v>N</v>
      </c>
      <c r="G3" s="3" t="s">
        <v>19</v>
      </c>
      <c r="H3" s="3" t="s">
        <v>14</v>
      </c>
      <c r="I3" s="3" t="s">
        <v>20</v>
      </c>
      <c r="J3" s="3" t="s">
        <v>21</v>
      </c>
      <c r="K3" s="8" t="s">
        <v>22</v>
      </c>
      <c r="L3" s="2" t="s">
        <v>23</v>
      </c>
    </row>
    <row r="4" spans="1:12" ht="43.5">
      <c r="A4" s="2" t="s">
        <v>24</v>
      </c>
      <c r="B4" s="3">
        <v>0</v>
      </c>
      <c r="C4" s="3">
        <v>-15000</v>
      </c>
      <c r="D4" s="3">
        <f t="shared" si="0"/>
        <v>15000</v>
      </c>
      <c r="E4" s="3">
        <v>1000</v>
      </c>
      <c r="F4" s="3" t="str">
        <f t="shared" si="1"/>
        <v>N</v>
      </c>
      <c r="G4" s="3" t="s">
        <v>19</v>
      </c>
      <c r="H4" s="3" t="s">
        <v>14</v>
      </c>
      <c r="I4" s="3" t="s">
        <v>20</v>
      </c>
      <c r="J4" s="3" t="s">
        <v>25</v>
      </c>
      <c r="K4" s="8" t="s">
        <v>22</v>
      </c>
      <c r="L4" s="2" t="s">
        <v>23</v>
      </c>
    </row>
    <row r="5" spans="1:12">
      <c r="A5" s="2" t="s">
        <v>26</v>
      </c>
      <c r="B5" s="3">
        <v>-2000</v>
      </c>
      <c r="C5" s="3">
        <v>-2500</v>
      </c>
      <c r="D5" s="3">
        <f t="shared" si="0"/>
        <v>500</v>
      </c>
      <c r="E5" s="3">
        <v>1000</v>
      </c>
      <c r="F5" s="3" t="str">
        <f t="shared" si="1"/>
        <v>Y</v>
      </c>
      <c r="G5" s="3" t="s">
        <v>27</v>
      </c>
      <c r="H5" s="3" t="s">
        <v>14</v>
      </c>
      <c r="I5" s="3" t="s">
        <v>28</v>
      </c>
      <c r="J5" s="3" t="s">
        <v>29</v>
      </c>
      <c r="K5" s="8"/>
      <c r="L5" s="3" t="s">
        <v>30</v>
      </c>
    </row>
    <row r="6" spans="1:12" ht="43.5">
      <c r="A6" s="2" t="s">
        <v>31</v>
      </c>
      <c r="B6" s="3">
        <v>0</v>
      </c>
      <c r="C6" s="3">
        <v>3000</v>
      </c>
      <c r="D6" s="3">
        <f t="shared" si="0"/>
        <v>3000</v>
      </c>
      <c r="E6" s="3">
        <v>1000</v>
      </c>
      <c r="F6" s="3" t="str">
        <f t="shared" si="1"/>
        <v>N</v>
      </c>
      <c r="G6" s="3" t="s">
        <v>32</v>
      </c>
      <c r="H6" s="3" t="s">
        <v>14</v>
      </c>
      <c r="I6" s="3" t="s">
        <v>20</v>
      </c>
      <c r="J6" s="3" t="s">
        <v>33</v>
      </c>
      <c r="K6" s="8" t="s">
        <v>34</v>
      </c>
      <c r="L6" s="2" t="s">
        <v>23</v>
      </c>
    </row>
    <row r="7" spans="1:12" ht="43.5">
      <c r="A7" s="2" t="s">
        <v>35</v>
      </c>
      <c r="B7" s="3">
        <v>0</v>
      </c>
      <c r="C7" s="3">
        <v>-5000</v>
      </c>
      <c r="D7" s="3">
        <f t="shared" si="0"/>
        <v>5000</v>
      </c>
      <c r="E7" s="3">
        <v>1000</v>
      </c>
      <c r="F7" s="3" t="str">
        <f t="shared" si="1"/>
        <v>N</v>
      </c>
      <c r="G7" s="3" t="s">
        <v>32</v>
      </c>
      <c r="H7" s="3" t="s">
        <v>14</v>
      </c>
      <c r="I7" s="3" t="s">
        <v>20</v>
      </c>
      <c r="J7" s="3" t="s">
        <v>36</v>
      </c>
      <c r="K7" s="8" t="s">
        <v>37</v>
      </c>
      <c r="L7" s="2" t="s">
        <v>23</v>
      </c>
    </row>
    <row r="8" spans="1:12" ht="43.5">
      <c r="A8" s="2" t="s">
        <v>38</v>
      </c>
      <c r="B8" s="3">
        <v>128000</v>
      </c>
      <c r="C8" s="3">
        <v>130500</v>
      </c>
      <c r="D8" s="3">
        <f t="shared" si="0"/>
        <v>2500</v>
      </c>
      <c r="E8" s="3">
        <v>1000</v>
      </c>
      <c r="F8" s="3" t="str">
        <f t="shared" si="1"/>
        <v>N</v>
      </c>
      <c r="G8" s="3" t="s">
        <v>13</v>
      </c>
      <c r="H8" s="3" t="s">
        <v>14</v>
      </c>
      <c r="I8" s="3" t="s">
        <v>28</v>
      </c>
      <c r="J8" s="3" t="s">
        <v>39</v>
      </c>
      <c r="K8" s="9" t="s">
        <v>40</v>
      </c>
      <c r="L8" s="2" t="s">
        <v>23</v>
      </c>
    </row>
    <row r="20" spans="1:1" ht="72.75">
      <c r="A20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2026-04-20T09:59:21Z</dcterms:created>
  <dcterms:modified xsi:type="dcterms:W3CDTF">2026-04-20T13:07:05Z</dcterms:modified>
  <cp:category/>
  <cp:contentStatus/>
</cp:coreProperties>
</file>