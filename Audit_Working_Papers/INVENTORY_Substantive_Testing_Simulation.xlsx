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71" documentId="11_0B1D56BE9CDCCE836B02CE7A5FB0D4A9BBFD1C62" xr6:coauthVersionLast="47" xr6:coauthVersionMax="47" xr10:uidLastSave="{563B18FB-532F-441A-B599-8816D694AF3A}"/>
  <bookViews>
    <workbookView xWindow="240" yWindow="105" windowWidth="14805" windowHeight="8010" xr2:uid="{00000000-000D-0000-FFFF-FFFF00000000}"/>
  </bookViews>
  <sheets>
    <sheet name="Inventory Tes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2" i="1"/>
  <c r="H2" i="1" s="1"/>
</calcChain>
</file>

<file path=xl/sharedStrings.xml><?xml version="1.0" encoding="utf-8"?>
<sst xmlns="http://schemas.openxmlformats.org/spreadsheetml/2006/main" count="112" uniqueCount="62">
  <si>
    <t xml:space="preserve">Item ID </t>
  </si>
  <si>
    <t xml:space="preserve"> Item Name </t>
  </si>
  <si>
    <t xml:space="preserve"> Location </t>
  </si>
  <si>
    <t xml:space="preserve"> Book Quantity </t>
  </si>
  <si>
    <t xml:space="preserve"> Physical Quantity </t>
  </si>
  <si>
    <t xml:space="preserve"> Variance </t>
  </si>
  <si>
    <t xml:space="preserve"> Tolerance Limit </t>
  </si>
  <si>
    <t xml:space="preserve"> Within Tolerance (Y/N) </t>
  </si>
  <si>
    <t xml:space="preserve"> Unit Cost </t>
  </si>
  <si>
    <t xml:space="preserve"> Total Value (Book) </t>
  </si>
  <si>
    <t xml:space="preserve"> Total Value (Physical) </t>
  </si>
  <si>
    <t xml:space="preserve"> Assertion Tested </t>
  </si>
  <si>
    <t xml:space="preserve"> Observation </t>
  </si>
  <si>
    <t>Proposed Adjustments/Actions</t>
  </si>
  <si>
    <t xml:space="preserve"> Conclusion</t>
  </si>
  <si>
    <t xml:space="preserve">ITM001 </t>
  </si>
  <si>
    <t xml:space="preserve"> Steel Rods </t>
  </si>
  <si>
    <t xml:space="preserve"> Warehouse A </t>
  </si>
  <si>
    <t xml:space="preserve"> Existence, Completeness, Valuation </t>
  </si>
  <si>
    <t xml:space="preserve"> No difference </t>
  </si>
  <si>
    <t xml:space="preserve"> Inventory fairly stated</t>
  </si>
  <si>
    <t xml:space="preserve">ITM002 </t>
  </si>
  <si>
    <t xml:space="preserve"> Copper Wires </t>
  </si>
  <si>
    <t xml:space="preserve"> Minor variance within tolerance </t>
  </si>
  <si>
    <t xml:space="preserve">ITM003 </t>
  </si>
  <si>
    <t xml:space="preserve"> Aluminum Sheets </t>
  </si>
  <si>
    <t xml:space="preserve"> Warehouse B </t>
  </si>
  <si>
    <t xml:space="preserve"> Shortage identified </t>
  </si>
  <si>
    <t>Adjust shortage of 20 units in inventory records</t>
  </si>
  <si>
    <t>Exception identified; adjustment proposed and pending management action</t>
  </si>
  <si>
    <t xml:space="preserve">ITM004 </t>
  </si>
  <si>
    <t xml:space="preserve"> Plastic Units </t>
  </si>
  <si>
    <t xml:space="preserve">ITM005 </t>
  </si>
  <si>
    <t xml:space="preserve"> Finished Goods A </t>
  </si>
  <si>
    <t xml:space="preserve"> Warehouse C </t>
  </si>
  <si>
    <t xml:space="preserve"> Excess stock found </t>
  </si>
  <si>
    <t>Investigate excess; adjust records if unsupported</t>
  </si>
  <si>
    <t xml:space="preserve">ITM006 </t>
  </si>
  <si>
    <t xml:space="preserve"> Finished Goods B </t>
  </si>
  <si>
    <t xml:space="preserve">ITM007 </t>
  </si>
  <si>
    <t xml:space="preserve"> Packaging Material </t>
  </si>
  <si>
    <t xml:space="preserve"> Shortage beyond tolerance </t>
  </si>
  <si>
    <t>Adjust shortage of 10 units</t>
  </si>
  <si>
    <t xml:space="preserve">ITM008 </t>
  </si>
  <si>
    <t xml:space="preserve"> Spare Parts </t>
  </si>
  <si>
    <t xml:space="preserve">ITM009 </t>
  </si>
  <si>
    <t xml:space="preserve"> Raw Material X </t>
  </si>
  <si>
    <t xml:space="preserve">ITM010 </t>
  </si>
  <si>
    <t xml:space="preserve"> Raw Material Y </t>
  </si>
  <si>
    <t xml:space="preserve">ITM011 </t>
  </si>
  <si>
    <t xml:space="preserve"> Semi-Finished A </t>
  </si>
  <si>
    <t xml:space="preserve">ITM012 </t>
  </si>
  <si>
    <t xml:space="preserve"> Semi-Finished B </t>
  </si>
  <si>
    <t>Adjust shortage of 15 units</t>
  </si>
  <si>
    <t xml:space="preserve">ITM013 </t>
  </si>
  <si>
    <t xml:space="preserve"> Chemical Stock </t>
  </si>
  <si>
    <t xml:space="preserve">ITM014 </t>
  </si>
  <si>
    <t xml:space="preserve"> Hardware Items </t>
  </si>
  <si>
    <t>Adjust shortage of 20 units</t>
  </si>
  <si>
    <t xml:space="preserve">ITM015 </t>
  </si>
  <si>
    <t xml:space="preserve"> Consumables </t>
  </si>
  <si>
    <t>Conclusion: Physical verification identified shortages and excesses beyond tolerance in certain items. Except for noted discrepancies, inventory is fairly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</si>
</sst>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4242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L10" workbookViewId="0">
      <selection activeCell="O1" sqref="O1:O16"/>
    </sheetView>
  </sheetViews>
  <sheetFormatPr defaultRowHeight="15"/>
  <cols>
    <col min="1" max="1" width="18.28515625" customWidth="1"/>
    <col min="2" max="2" width="18.7109375" customWidth="1"/>
    <col min="3" max="3" width="12.5703125" customWidth="1"/>
    <col min="4" max="4" width="13.7109375" bestFit="1" customWidth="1"/>
    <col min="5" max="5" width="16.42578125" bestFit="1" customWidth="1"/>
    <col min="7" max="7" width="14.7109375" bestFit="1" customWidth="1"/>
    <col min="8" max="8" width="20.85546875" bestFit="1" customWidth="1"/>
    <col min="9" max="9" width="9.5703125" bestFit="1" customWidth="1"/>
    <col min="10" max="10" width="17.140625" bestFit="1" customWidth="1"/>
    <col min="11" max="11" width="20" bestFit="1" customWidth="1"/>
    <col min="12" max="12" width="32.42578125" bestFit="1" customWidth="1"/>
    <col min="13" max="13" width="28.28515625" bestFit="1" customWidth="1"/>
    <col min="14" max="15" width="36.5703125" bestFit="1" customWidth="1"/>
  </cols>
  <sheetData>
    <row r="1" spans="1:15" s="2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9" t="s">
        <v>13</v>
      </c>
      <c r="O1" s="4" t="s">
        <v>14</v>
      </c>
    </row>
    <row r="2" spans="1:15">
      <c r="A2" s="5" t="s">
        <v>15</v>
      </c>
      <c r="B2" s="6" t="s">
        <v>16</v>
      </c>
      <c r="C2" s="6" t="s">
        <v>17</v>
      </c>
      <c r="D2" s="6">
        <v>500</v>
      </c>
      <c r="E2" s="6">
        <v>500</v>
      </c>
      <c r="F2" s="6">
        <f>ABS(D2-E2)</f>
        <v>0</v>
      </c>
      <c r="G2" s="6">
        <v>5</v>
      </c>
      <c r="H2" s="6" t="str">
        <f>IF(F2&lt;=G2,"Y","N")</f>
        <v>Y</v>
      </c>
      <c r="I2" s="6">
        <v>100</v>
      </c>
      <c r="J2" s="6">
        <f>D2*I2</f>
        <v>50000</v>
      </c>
      <c r="K2" s="6">
        <f>E2*I2</f>
        <v>50000</v>
      </c>
      <c r="L2" s="6" t="s">
        <v>18</v>
      </c>
      <c r="M2" s="6" t="s">
        <v>19</v>
      </c>
      <c r="N2" s="7"/>
      <c r="O2" s="6" t="s">
        <v>20</v>
      </c>
    </row>
    <row r="3" spans="1:15">
      <c r="A3" s="5" t="s">
        <v>21</v>
      </c>
      <c r="B3" s="6" t="s">
        <v>22</v>
      </c>
      <c r="C3" s="6" t="s">
        <v>17</v>
      </c>
      <c r="D3" s="6">
        <v>300</v>
      </c>
      <c r="E3" s="6">
        <v>295</v>
      </c>
      <c r="F3" s="6">
        <f t="shared" ref="F3:F16" si="0">ABS(D3-E3)</f>
        <v>5</v>
      </c>
      <c r="G3" s="6">
        <v>5</v>
      </c>
      <c r="H3" s="6" t="str">
        <f t="shared" ref="H3:H16" si="1">IF(F3&lt;=G3,"Y","N")</f>
        <v>Y</v>
      </c>
      <c r="I3" s="6">
        <v>200</v>
      </c>
      <c r="J3" s="6">
        <f t="shared" ref="J3:J16" si="2">D3*I3</f>
        <v>60000</v>
      </c>
      <c r="K3" s="6">
        <f t="shared" ref="K3:K16" si="3">E3*I3</f>
        <v>59000</v>
      </c>
      <c r="L3" s="6" t="s">
        <v>18</v>
      </c>
      <c r="M3" s="6" t="s">
        <v>23</v>
      </c>
      <c r="N3" s="7"/>
      <c r="O3" s="6" t="s">
        <v>20</v>
      </c>
    </row>
    <row r="4" spans="1:15" ht="43.5">
      <c r="A4" s="5" t="s">
        <v>24</v>
      </c>
      <c r="B4" s="6" t="s">
        <v>25</v>
      </c>
      <c r="C4" s="6" t="s">
        <v>26</v>
      </c>
      <c r="D4" s="6">
        <v>400</v>
      </c>
      <c r="E4" s="6">
        <v>380</v>
      </c>
      <c r="F4" s="6">
        <f t="shared" si="0"/>
        <v>20</v>
      </c>
      <c r="G4" s="6">
        <v>5</v>
      </c>
      <c r="H4" s="6" t="str">
        <f t="shared" si="1"/>
        <v>N</v>
      </c>
      <c r="I4" s="6">
        <v>150</v>
      </c>
      <c r="J4" s="6">
        <f t="shared" si="2"/>
        <v>60000</v>
      </c>
      <c r="K4" s="6">
        <f t="shared" si="3"/>
        <v>57000</v>
      </c>
      <c r="L4" s="6" t="s">
        <v>18</v>
      </c>
      <c r="M4" s="6" t="s">
        <v>27</v>
      </c>
      <c r="N4" s="8" t="s">
        <v>28</v>
      </c>
      <c r="O4" s="5" t="s">
        <v>29</v>
      </c>
    </row>
    <row r="5" spans="1:15">
      <c r="A5" s="5" t="s">
        <v>30</v>
      </c>
      <c r="B5" s="6" t="s">
        <v>31</v>
      </c>
      <c r="C5" s="6" t="s">
        <v>26</v>
      </c>
      <c r="D5" s="6">
        <v>250</v>
      </c>
      <c r="E5" s="6">
        <v>250</v>
      </c>
      <c r="F5" s="6">
        <f t="shared" si="0"/>
        <v>0</v>
      </c>
      <c r="G5" s="6">
        <v>5</v>
      </c>
      <c r="H5" s="6" t="str">
        <f t="shared" si="1"/>
        <v>Y</v>
      </c>
      <c r="I5" s="6">
        <v>80</v>
      </c>
      <c r="J5" s="6">
        <f t="shared" si="2"/>
        <v>20000</v>
      </c>
      <c r="K5" s="6">
        <f t="shared" si="3"/>
        <v>20000</v>
      </c>
      <c r="L5" s="6" t="s">
        <v>18</v>
      </c>
      <c r="M5" s="6" t="s">
        <v>19</v>
      </c>
      <c r="N5" s="7"/>
      <c r="O5" s="6" t="s">
        <v>20</v>
      </c>
    </row>
    <row r="6" spans="1:15" ht="43.5">
      <c r="A6" s="5" t="s">
        <v>32</v>
      </c>
      <c r="B6" s="6" t="s">
        <v>33</v>
      </c>
      <c r="C6" s="6" t="s">
        <v>34</v>
      </c>
      <c r="D6" s="6">
        <v>600</v>
      </c>
      <c r="E6" s="6">
        <v>620</v>
      </c>
      <c r="F6" s="6">
        <f t="shared" si="0"/>
        <v>20</v>
      </c>
      <c r="G6" s="6">
        <v>5</v>
      </c>
      <c r="H6" s="6" t="str">
        <f t="shared" si="1"/>
        <v>N</v>
      </c>
      <c r="I6" s="6">
        <v>300</v>
      </c>
      <c r="J6" s="6">
        <f t="shared" si="2"/>
        <v>180000</v>
      </c>
      <c r="K6" s="6">
        <f t="shared" si="3"/>
        <v>186000</v>
      </c>
      <c r="L6" s="6" t="s">
        <v>18</v>
      </c>
      <c r="M6" s="6" t="s">
        <v>35</v>
      </c>
      <c r="N6" s="8" t="s">
        <v>36</v>
      </c>
      <c r="O6" s="5" t="s">
        <v>29</v>
      </c>
    </row>
    <row r="7" spans="1:15">
      <c r="A7" s="5" t="s">
        <v>37</v>
      </c>
      <c r="B7" s="5" t="s">
        <v>38</v>
      </c>
      <c r="C7" s="6" t="s">
        <v>34</v>
      </c>
      <c r="D7" s="6">
        <v>450</v>
      </c>
      <c r="E7" s="6">
        <v>450</v>
      </c>
      <c r="F7" s="6">
        <f t="shared" si="0"/>
        <v>0</v>
      </c>
      <c r="G7" s="6">
        <v>5</v>
      </c>
      <c r="H7" s="6" t="str">
        <f t="shared" si="1"/>
        <v>Y</v>
      </c>
      <c r="I7" s="6">
        <v>250</v>
      </c>
      <c r="J7" s="6">
        <f t="shared" si="2"/>
        <v>112500</v>
      </c>
      <c r="K7" s="6">
        <f t="shared" si="3"/>
        <v>112500</v>
      </c>
      <c r="L7" s="6" t="s">
        <v>18</v>
      </c>
      <c r="M7" s="6" t="s">
        <v>19</v>
      </c>
      <c r="N7" s="7"/>
      <c r="O7" s="6" t="s">
        <v>20</v>
      </c>
    </row>
    <row r="8" spans="1:15" ht="43.5">
      <c r="A8" s="5" t="s">
        <v>39</v>
      </c>
      <c r="B8" s="5" t="s">
        <v>40</v>
      </c>
      <c r="C8" s="6" t="s">
        <v>17</v>
      </c>
      <c r="D8" s="6">
        <v>700</v>
      </c>
      <c r="E8" s="6">
        <v>690</v>
      </c>
      <c r="F8" s="6">
        <f t="shared" si="0"/>
        <v>10</v>
      </c>
      <c r="G8" s="6">
        <v>5</v>
      </c>
      <c r="H8" s="6" t="str">
        <f t="shared" si="1"/>
        <v>N</v>
      </c>
      <c r="I8" s="6">
        <v>50</v>
      </c>
      <c r="J8" s="6">
        <f t="shared" si="2"/>
        <v>35000</v>
      </c>
      <c r="K8" s="6">
        <f t="shared" si="3"/>
        <v>34500</v>
      </c>
      <c r="L8" s="6" t="s">
        <v>18</v>
      </c>
      <c r="M8" s="6" t="s">
        <v>41</v>
      </c>
      <c r="N8" s="7" t="s">
        <v>42</v>
      </c>
      <c r="O8" s="5" t="s">
        <v>29</v>
      </c>
    </row>
    <row r="9" spans="1:15">
      <c r="A9" s="5" t="s">
        <v>43</v>
      </c>
      <c r="B9" s="6" t="s">
        <v>44</v>
      </c>
      <c r="C9" s="6" t="s">
        <v>26</v>
      </c>
      <c r="D9" s="6">
        <v>150</v>
      </c>
      <c r="E9" s="6">
        <v>150</v>
      </c>
      <c r="F9" s="6">
        <f t="shared" si="0"/>
        <v>0</v>
      </c>
      <c r="G9" s="6">
        <v>5</v>
      </c>
      <c r="H9" s="6" t="str">
        <f t="shared" si="1"/>
        <v>Y</v>
      </c>
      <c r="I9" s="6">
        <v>500</v>
      </c>
      <c r="J9" s="6">
        <f t="shared" si="2"/>
        <v>75000</v>
      </c>
      <c r="K9" s="6">
        <f t="shared" si="3"/>
        <v>75000</v>
      </c>
      <c r="L9" s="6" t="s">
        <v>18</v>
      </c>
      <c r="M9" s="6" t="s">
        <v>19</v>
      </c>
      <c r="N9" s="7"/>
      <c r="O9" s="6" t="s">
        <v>20</v>
      </c>
    </row>
    <row r="10" spans="1:15" ht="43.5">
      <c r="A10" s="5" t="s">
        <v>45</v>
      </c>
      <c r="B10" s="5" t="s">
        <v>46</v>
      </c>
      <c r="C10" s="6" t="s">
        <v>34</v>
      </c>
      <c r="D10" s="6">
        <v>800</v>
      </c>
      <c r="E10" s="6">
        <v>790</v>
      </c>
      <c r="F10" s="6">
        <f t="shared" si="0"/>
        <v>10</v>
      </c>
      <c r="G10" s="6">
        <v>5</v>
      </c>
      <c r="H10" s="6" t="str">
        <f t="shared" si="1"/>
        <v>N</v>
      </c>
      <c r="I10" s="6">
        <v>120</v>
      </c>
      <c r="J10" s="6">
        <f t="shared" si="2"/>
        <v>96000</v>
      </c>
      <c r="K10" s="6">
        <f t="shared" si="3"/>
        <v>94800</v>
      </c>
      <c r="L10" s="6" t="s">
        <v>18</v>
      </c>
      <c r="M10" s="6" t="s">
        <v>41</v>
      </c>
      <c r="N10" s="7" t="s">
        <v>42</v>
      </c>
      <c r="O10" s="5" t="s">
        <v>29</v>
      </c>
    </row>
    <row r="11" spans="1:15">
      <c r="A11" s="5" t="s">
        <v>47</v>
      </c>
      <c r="B11" s="5" t="s">
        <v>48</v>
      </c>
      <c r="C11" s="6" t="s">
        <v>17</v>
      </c>
      <c r="D11" s="6">
        <v>1000</v>
      </c>
      <c r="E11" s="6">
        <v>1000</v>
      </c>
      <c r="F11" s="6">
        <f t="shared" si="0"/>
        <v>0</v>
      </c>
      <c r="G11" s="6">
        <v>5</v>
      </c>
      <c r="H11" s="6" t="str">
        <f t="shared" si="1"/>
        <v>Y</v>
      </c>
      <c r="I11" s="6">
        <v>90</v>
      </c>
      <c r="J11" s="6">
        <f t="shared" si="2"/>
        <v>90000</v>
      </c>
      <c r="K11" s="6">
        <f t="shared" si="3"/>
        <v>90000</v>
      </c>
      <c r="L11" s="6" t="s">
        <v>18</v>
      </c>
      <c r="M11" s="6" t="s">
        <v>19</v>
      </c>
      <c r="N11" s="7"/>
      <c r="O11" s="6" t="s">
        <v>20</v>
      </c>
    </row>
    <row r="12" spans="1:15">
      <c r="A12" s="5" t="s">
        <v>49</v>
      </c>
      <c r="B12" s="6" t="s">
        <v>50</v>
      </c>
      <c r="C12" s="6" t="s">
        <v>26</v>
      </c>
      <c r="D12" s="6">
        <v>350</v>
      </c>
      <c r="E12" s="6">
        <v>345</v>
      </c>
      <c r="F12" s="6">
        <f t="shared" si="0"/>
        <v>5</v>
      </c>
      <c r="G12" s="6">
        <v>5</v>
      </c>
      <c r="H12" s="6" t="str">
        <f t="shared" si="1"/>
        <v>Y</v>
      </c>
      <c r="I12" s="6">
        <v>180</v>
      </c>
      <c r="J12" s="6">
        <f t="shared" si="2"/>
        <v>63000</v>
      </c>
      <c r="K12" s="6">
        <f t="shared" si="3"/>
        <v>62100</v>
      </c>
      <c r="L12" s="6" t="s">
        <v>18</v>
      </c>
      <c r="M12" s="6" t="s">
        <v>23</v>
      </c>
      <c r="N12" s="7"/>
      <c r="O12" s="6" t="s">
        <v>20</v>
      </c>
    </row>
    <row r="13" spans="1:15" ht="43.5">
      <c r="A13" s="5" t="s">
        <v>51</v>
      </c>
      <c r="B13" s="6" t="s">
        <v>52</v>
      </c>
      <c r="C13" s="6" t="s">
        <v>34</v>
      </c>
      <c r="D13" s="6">
        <v>275</v>
      </c>
      <c r="E13" s="6">
        <v>260</v>
      </c>
      <c r="F13" s="6">
        <f t="shared" si="0"/>
        <v>15</v>
      </c>
      <c r="G13" s="6">
        <v>5</v>
      </c>
      <c r="H13" s="6" t="str">
        <f t="shared" si="1"/>
        <v>N</v>
      </c>
      <c r="I13" s="6">
        <v>220</v>
      </c>
      <c r="J13" s="6">
        <f t="shared" si="2"/>
        <v>60500</v>
      </c>
      <c r="K13" s="6">
        <f t="shared" si="3"/>
        <v>57200</v>
      </c>
      <c r="L13" s="6" t="s">
        <v>18</v>
      </c>
      <c r="M13" s="6" t="s">
        <v>27</v>
      </c>
      <c r="N13" s="7" t="s">
        <v>53</v>
      </c>
      <c r="O13" s="5" t="s">
        <v>29</v>
      </c>
    </row>
    <row r="14" spans="1:15">
      <c r="A14" s="5" t="s">
        <v>54</v>
      </c>
      <c r="B14" s="6" t="s">
        <v>55</v>
      </c>
      <c r="C14" s="6" t="s">
        <v>17</v>
      </c>
      <c r="D14" s="6">
        <v>125</v>
      </c>
      <c r="E14" s="6">
        <v>125</v>
      </c>
      <c r="F14" s="6">
        <f t="shared" si="0"/>
        <v>0</v>
      </c>
      <c r="G14" s="6">
        <v>5</v>
      </c>
      <c r="H14" s="6" t="str">
        <f t="shared" si="1"/>
        <v>Y</v>
      </c>
      <c r="I14" s="6">
        <v>400</v>
      </c>
      <c r="J14" s="6">
        <f t="shared" si="2"/>
        <v>50000</v>
      </c>
      <c r="K14" s="6">
        <f t="shared" si="3"/>
        <v>50000</v>
      </c>
      <c r="L14" s="6" t="s">
        <v>18</v>
      </c>
      <c r="M14" s="6" t="s">
        <v>19</v>
      </c>
      <c r="N14" s="7"/>
      <c r="O14" s="6" t="s">
        <v>20</v>
      </c>
    </row>
    <row r="15" spans="1:15" ht="43.5">
      <c r="A15" s="5" t="s">
        <v>56</v>
      </c>
      <c r="B15" s="6" t="s">
        <v>57</v>
      </c>
      <c r="C15" s="6" t="s">
        <v>26</v>
      </c>
      <c r="D15" s="6">
        <v>900</v>
      </c>
      <c r="E15" s="6">
        <v>880</v>
      </c>
      <c r="F15" s="6">
        <f t="shared" si="0"/>
        <v>20</v>
      </c>
      <c r="G15" s="6">
        <v>5</v>
      </c>
      <c r="H15" s="6" t="str">
        <f t="shared" si="1"/>
        <v>N</v>
      </c>
      <c r="I15" s="6">
        <v>60</v>
      </c>
      <c r="J15" s="6">
        <f t="shared" si="2"/>
        <v>54000</v>
      </c>
      <c r="K15" s="6">
        <f t="shared" si="3"/>
        <v>52800</v>
      </c>
      <c r="L15" s="6" t="s">
        <v>18</v>
      </c>
      <c r="M15" s="6" t="s">
        <v>41</v>
      </c>
      <c r="N15" s="7" t="s">
        <v>58</v>
      </c>
      <c r="O15" s="5" t="s">
        <v>29</v>
      </c>
    </row>
    <row r="16" spans="1:15">
      <c r="A16" s="5" t="s">
        <v>59</v>
      </c>
      <c r="B16" s="6" t="s">
        <v>60</v>
      </c>
      <c r="C16" s="6" t="s">
        <v>34</v>
      </c>
      <c r="D16" s="6">
        <v>200</v>
      </c>
      <c r="E16" s="6">
        <v>200</v>
      </c>
      <c r="F16" s="6">
        <f t="shared" si="0"/>
        <v>0</v>
      </c>
      <c r="G16" s="6">
        <v>5</v>
      </c>
      <c r="H16" s="6" t="str">
        <f t="shared" si="1"/>
        <v>Y</v>
      </c>
      <c r="I16" s="6">
        <v>30</v>
      </c>
      <c r="J16" s="6">
        <f t="shared" si="2"/>
        <v>6000</v>
      </c>
      <c r="K16" s="6">
        <f t="shared" si="3"/>
        <v>6000</v>
      </c>
      <c r="L16" s="6" t="s">
        <v>18</v>
      </c>
      <c r="M16" s="6" t="s">
        <v>19</v>
      </c>
      <c r="N16" s="7"/>
      <c r="O16" s="6" t="s">
        <v>20</v>
      </c>
    </row>
    <row r="20" spans="1:1" ht="144.75">
      <c r="A20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2026-04-20T09:33:54Z</dcterms:created>
  <dcterms:modified xsi:type="dcterms:W3CDTF">2026-04-20T13:06:37Z</dcterms:modified>
  <cp:category/>
  <cp:contentStatus/>
</cp:coreProperties>
</file>