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45" documentId="11_0B1D56BE9CDCCE836B02CE7A5FB0D4A9BBFD1C62" xr6:coauthVersionLast="47" xr6:coauthVersionMax="47" xr10:uidLastSave="{58438102-AC93-478F-84A1-474017EA10EF}"/>
  <bookViews>
    <workbookView xWindow="240" yWindow="105" windowWidth="14805" windowHeight="8010" xr2:uid="{00000000-000D-0000-FFFF-FFFF00000000}"/>
  </bookViews>
  <sheets>
    <sheet name="Receivables Confirm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2" i="1"/>
  <c r="H2" i="1" s="1"/>
  <c r="I2" i="1" s="1"/>
</calcChain>
</file>

<file path=xl/sharedStrings.xml><?xml version="1.0" encoding="utf-8"?>
<sst xmlns="http://schemas.openxmlformats.org/spreadsheetml/2006/main" count="125" uniqueCount="47">
  <si>
    <t xml:space="preserve">Customer Name </t>
  </si>
  <si>
    <t xml:space="preserve"> Balance as per Books </t>
  </si>
  <si>
    <t xml:space="preserve"> Confirmation Sent (Y/N) </t>
  </si>
  <si>
    <t xml:space="preserve"> Response Received (Y/N) </t>
  </si>
  <si>
    <t xml:space="preserve"> Balance as per Customer </t>
  </si>
  <si>
    <t xml:space="preserve"> Variance </t>
  </si>
  <si>
    <t xml:space="preserve"> Tolerance Limit </t>
  </si>
  <si>
    <t xml:space="preserve"> Within Tolerance (Y/N) </t>
  </si>
  <si>
    <t xml:space="preserve"> Follow-up Required (Y/N) </t>
  </si>
  <si>
    <t xml:space="preserve"> Assertion Tested </t>
  </si>
  <si>
    <t xml:space="preserve"> Observation </t>
  </si>
  <si>
    <t>Proposed Adjustments/Actions</t>
  </si>
  <si>
    <t xml:space="preserve"> Conclusion</t>
  </si>
  <si>
    <t xml:space="preserve">Alpha Ltd </t>
  </si>
  <si>
    <t xml:space="preserve"> Y </t>
  </si>
  <si>
    <t xml:space="preserve"> Existence, Rights &amp; Obligations, Accuracy </t>
  </si>
  <si>
    <t xml:space="preserve"> Balance confirmed </t>
  </si>
  <si>
    <t xml:space="preserve"> Receivable fairly stated</t>
  </si>
  <si>
    <t xml:space="preserve">Beta Pvt Ltd </t>
  </si>
  <si>
    <t xml:space="preserve"> N </t>
  </si>
  <si>
    <t xml:space="preserve"> Minor variance within tolerance </t>
  </si>
  <si>
    <t xml:space="preserve">Gamma Ltd </t>
  </si>
  <si>
    <t xml:space="preserve"> Variance exceeds tolerance </t>
  </si>
  <si>
    <t>Reconcile ₹2000 difference; adjust if required</t>
  </si>
  <si>
    <t>Exception identified; adjustment proposed and pending management action</t>
  </si>
  <si>
    <t xml:space="preserve">Delta Pvt Ltd </t>
  </si>
  <si>
    <t xml:space="preserve"> No response received </t>
  </si>
  <si>
    <t>Perform alternative procedures (subsequent receipts)</t>
  </si>
  <si>
    <t xml:space="preserve">Epsilon Ltd </t>
  </si>
  <si>
    <t xml:space="preserve">Zeta Pvt Ltd </t>
  </si>
  <si>
    <t xml:space="preserve"> Minor variance </t>
  </si>
  <si>
    <t xml:space="preserve">Eta Ltd </t>
  </si>
  <si>
    <t xml:space="preserve"> No confirmation received </t>
  </si>
  <si>
    <t>Perform alternative procedures</t>
  </si>
  <si>
    <t xml:space="preserve">Theta Pvt Ltd </t>
  </si>
  <si>
    <t xml:space="preserve">Iota Ltd </t>
  </si>
  <si>
    <t>Reconcile ₹2000 variance</t>
  </si>
  <si>
    <t xml:space="preserve">Kappa Pvt Ltd </t>
  </si>
  <si>
    <t xml:space="preserve">Lambda Ltd </t>
  </si>
  <si>
    <t xml:space="preserve"> No response </t>
  </si>
  <si>
    <t xml:space="preserve">Mu Pvt Ltd </t>
  </si>
  <si>
    <t xml:space="preserve">Nu Ltd </t>
  </si>
  <si>
    <t xml:space="preserve"> Significant variance </t>
  </si>
  <si>
    <t>Reconcile ₹3000 variance</t>
  </si>
  <si>
    <t xml:space="preserve">Xi Pvt Ltd </t>
  </si>
  <si>
    <t xml:space="preserve">Omicron Ltd </t>
  </si>
  <si>
    <t>Conclusion: Confirmations identified variances and non-responses requiring follow-up and alternative procedures. Except for noted exceptions, receivables are fairly stated.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</si>
</sst>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2" xfId="0" applyFont="1" applyFill="1" applyBorder="1"/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I5" workbookViewId="0">
      <selection activeCell="M1" sqref="M1:M16"/>
    </sheetView>
  </sheetViews>
  <sheetFormatPr defaultRowHeight="15"/>
  <cols>
    <col min="1" max="1" width="36.5703125" bestFit="1" customWidth="1"/>
    <col min="2" max="2" width="19.85546875" bestFit="1" customWidth="1"/>
    <col min="3" max="3" width="22" bestFit="1" customWidth="1"/>
    <col min="4" max="5" width="23.140625" bestFit="1" customWidth="1"/>
    <col min="8" max="8" width="20.85546875" bestFit="1" customWidth="1"/>
    <col min="9" max="9" width="23" bestFit="1" customWidth="1"/>
    <col min="10" max="10" width="36.5703125" bestFit="1" customWidth="1"/>
    <col min="11" max="11" width="28.28515625" bestFit="1" customWidth="1"/>
    <col min="12" max="13" width="36.5703125" bestFit="1" customWidth="1"/>
  </cols>
  <sheetData>
    <row r="1" spans="1:13" s="2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7" t="s">
        <v>11</v>
      </c>
      <c r="M1" s="4" t="s">
        <v>12</v>
      </c>
    </row>
    <row r="2" spans="1:13">
      <c r="A2" s="5" t="s">
        <v>13</v>
      </c>
      <c r="B2" s="6">
        <v>50000</v>
      </c>
      <c r="C2" s="6" t="s">
        <v>14</v>
      </c>
      <c r="D2" s="6" t="s">
        <v>14</v>
      </c>
      <c r="E2" s="6">
        <v>50000</v>
      </c>
      <c r="F2" s="6">
        <f>ABS(B2-E2)</f>
        <v>0</v>
      </c>
      <c r="G2" s="6">
        <v>1000</v>
      </c>
      <c r="H2" s="6" t="str">
        <f>IF(F2&lt;=G2, "Y","N")</f>
        <v>Y</v>
      </c>
      <c r="I2" s="6" t="str">
        <f>IF(OR(D2="N", H2="N"), "Y","N")</f>
        <v>N</v>
      </c>
      <c r="J2" s="6" t="s">
        <v>15</v>
      </c>
      <c r="K2" s="6" t="s">
        <v>16</v>
      </c>
      <c r="L2" s="8"/>
      <c r="M2" s="6" t="s">
        <v>17</v>
      </c>
    </row>
    <row r="3" spans="1:13">
      <c r="A3" s="5" t="s">
        <v>18</v>
      </c>
      <c r="B3" s="6">
        <v>75000</v>
      </c>
      <c r="C3" s="6" t="s">
        <v>14</v>
      </c>
      <c r="D3" s="6" t="s">
        <v>14</v>
      </c>
      <c r="E3" s="6">
        <v>74000</v>
      </c>
      <c r="F3" s="6">
        <f t="shared" ref="F3:F16" si="0">ABS(B3-E3)</f>
        <v>1000</v>
      </c>
      <c r="G3" s="6">
        <v>1000</v>
      </c>
      <c r="H3" s="6" t="str">
        <f t="shared" ref="H3:H16" si="1">IF(F3&lt;=G3, "Y","N")</f>
        <v>Y</v>
      </c>
      <c r="I3" s="6" t="s">
        <v>19</v>
      </c>
      <c r="J3" s="6" t="s">
        <v>15</v>
      </c>
      <c r="K3" s="6" t="s">
        <v>20</v>
      </c>
      <c r="L3" s="8"/>
      <c r="M3" s="6" t="s">
        <v>17</v>
      </c>
    </row>
    <row r="4" spans="1:13" ht="43.5">
      <c r="A4" s="5" t="s">
        <v>21</v>
      </c>
      <c r="B4" s="6">
        <v>62000</v>
      </c>
      <c r="C4" s="6" t="s">
        <v>14</v>
      </c>
      <c r="D4" s="6" t="s">
        <v>14</v>
      </c>
      <c r="E4" s="6">
        <v>60000</v>
      </c>
      <c r="F4" s="6">
        <f t="shared" si="0"/>
        <v>2000</v>
      </c>
      <c r="G4" s="6">
        <v>1000</v>
      </c>
      <c r="H4" s="6" t="str">
        <f t="shared" si="1"/>
        <v>N</v>
      </c>
      <c r="I4" s="6" t="s">
        <v>14</v>
      </c>
      <c r="J4" s="5" t="s">
        <v>15</v>
      </c>
      <c r="K4" s="6" t="s">
        <v>22</v>
      </c>
      <c r="L4" s="9" t="s">
        <v>23</v>
      </c>
      <c r="M4" s="5" t="s">
        <v>24</v>
      </c>
    </row>
    <row r="5" spans="1:13" ht="43.5">
      <c r="A5" s="5" t="s">
        <v>25</v>
      </c>
      <c r="B5" s="6">
        <v>88000</v>
      </c>
      <c r="C5" s="6" t="s">
        <v>14</v>
      </c>
      <c r="D5" s="6" t="s">
        <v>19</v>
      </c>
      <c r="E5" s="6">
        <v>0</v>
      </c>
      <c r="F5" s="6">
        <f t="shared" si="0"/>
        <v>88000</v>
      </c>
      <c r="G5" s="6">
        <v>1000</v>
      </c>
      <c r="H5" s="6" t="str">
        <f t="shared" si="1"/>
        <v>N</v>
      </c>
      <c r="I5" s="6" t="s">
        <v>14</v>
      </c>
      <c r="J5" s="6" t="s">
        <v>15</v>
      </c>
      <c r="K5" s="6" t="s">
        <v>26</v>
      </c>
      <c r="L5" s="9" t="s">
        <v>27</v>
      </c>
      <c r="M5" s="5" t="s">
        <v>24</v>
      </c>
    </row>
    <row r="6" spans="1:13">
      <c r="A6" s="5" t="s">
        <v>28</v>
      </c>
      <c r="B6" s="6">
        <v>45000</v>
      </c>
      <c r="C6" s="6" t="s">
        <v>14</v>
      </c>
      <c r="D6" s="6" t="s">
        <v>14</v>
      </c>
      <c r="E6" s="6">
        <v>45000</v>
      </c>
      <c r="F6" s="6">
        <f t="shared" si="0"/>
        <v>0</v>
      </c>
      <c r="G6" s="6">
        <v>1000</v>
      </c>
      <c r="H6" s="6" t="str">
        <f t="shared" si="1"/>
        <v>Y</v>
      </c>
      <c r="I6" s="6" t="s">
        <v>19</v>
      </c>
      <c r="J6" s="6" t="s">
        <v>15</v>
      </c>
      <c r="K6" s="6" t="s">
        <v>16</v>
      </c>
      <c r="L6" s="8"/>
      <c r="M6" s="6" t="s">
        <v>17</v>
      </c>
    </row>
    <row r="7" spans="1:13">
      <c r="A7" s="5" t="s">
        <v>29</v>
      </c>
      <c r="B7" s="6">
        <v>39000</v>
      </c>
      <c r="C7" s="6" t="s">
        <v>14</v>
      </c>
      <c r="D7" s="6" t="s">
        <v>14</v>
      </c>
      <c r="E7" s="6">
        <v>38000</v>
      </c>
      <c r="F7" s="6">
        <f t="shared" si="0"/>
        <v>1000</v>
      </c>
      <c r="G7" s="6">
        <v>1000</v>
      </c>
      <c r="H7" s="6" t="str">
        <f t="shared" si="1"/>
        <v>Y</v>
      </c>
      <c r="I7" s="6" t="s">
        <v>19</v>
      </c>
      <c r="J7" s="6" t="s">
        <v>15</v>
      </c>
      <c r="K7" s="6" t="s">
        <v>30</v>
      </c>
      <c r="L7" s="8"/>
      <c r="M7" s="6" t="s">
        <v>17</v>
      </c>
    </row>
    <row r="8" spans="1:13" ht="43.5">
      <c r="A8" s="5" t="s">
        <v>31</v>
      </c>
      <c r="B8" s="6">
        <v>91000</v>
      </c>
      <c r="C8" s="6" t="s">
        <v>14</v>
      </c>
      <c r="D8" s="6" t="s">
        <v>19</v>
      </c>
      <c r="E8" s="6">
        <v>0</v>
      </c>
      <c r="F8" s="6">
        <f t="shared" si="0"/>
        <v>91000</v>
      </c>
      <c r="G8" s="6">
        <v>1000</v>
      </c>
      <c r="H8" s="6" t="str">
        <f t="shared" si="1"/>
        <v>N</v>
      </c>
      <c r="I8" s="6" t="s">
        <v>14</v>
      </c>
      <c r="J8" s="6" t="s">
        <v>15</v>
      </c>
      <c r="K8" s="6" t="s">
        <v>32</v>
      </c>
      <c r="L8" s="8" t="s">
        <v>33</v>
      </c>
      <c r="M8" s="5" t="s">
        <v>24</v>
      </c>
    </row>
    <row r="9" spans="1:13">
      <c r="A9" s="5" t="s">
        <v>34</v>
      </c>
      <c r="B9" s="6">
        <v>30000</v>
      </c>
      <c r="C9" s="6" t="s">
        <v>14</v>
      </c>
      <c r="D9" s="6" t="s">
        <v>14</v>
      </c>
      <c r="E9" s="6">
        <v>30000</v>
      </c>
      <c r="F9" s="6">
        <f t="shared" si="0"/>
        <v>0</v>
      </c>
      <c r="G9" s="6">
        <v>1000</v>
      </c>
      <c r="H9" s="6" t="str">
        <f t="shared" si="1"/>
        <v>Y</v>
      </c>
      <c r="I9" s="6" t="s">
        <v>19</v>
      </c>
      <c r="J9" s="6" t="s">
        <v>15</v>
      </c>
      <c r="K9" s="6" t="s">
        <v>16</v>
      </c>
      <c r="L9" s="8"/>
      <c r="M9" s="6" t="s">
        <v>17</v>
      </c>
    </row>
    <row r="10" spans="1:13" ht="43.5">
      <c r="A10" s="5" t="s">
        <v>35</v>
      </c>
      <c r="B10" s="6">
        <v>67000</v>
      </c>
      <c r="C10" s="6" t="s">
        <v>14</v>
      </c>
      <c r="D10" s="6" t="s">
        <v>14</v>
      </c>
      <c r="E10" s="6">
        <v>65000</v>
      </c>
      <c r="F10" s="6">
        <f t="shared" si="0"/>
        <v>2000</v>
      </c>
      <c r="G10" s="6">
        <v>1000</v>
      </c>
      <c r="H10" s="6" t="str">
        <f t="shared" si="1"/>
        <v>N</v>
      </c>
      <c r="I10" s="6" t="s">
        <v>14</v>
      </c>
      <c r="J10" s="6" t="s">
        <v>15</v>
      </c>
      <c r="K10" s="6" t="s">
        <v>22</v>
      </c>
      <c r="L10" s="8" t="s">
        <v>36</v>
      </c>
      <c r="M10" s="5" t="s">
        <v>24</v>
      </c>
    </row>
    <row r="11" spans="1:13">
      <c r="A11" s="5" t="s">
        <v>37</v>
      </c>
      <c r="B11" s="6">
        <v>52000</v>
      </c>
      <c r="C11" s="6" t="s">
        <v>14</v>
      </c>
      <c r="D11" s="6" t="s">
        <v>14</v>
      </c>
      <c r="E11" s="6">
        <v>52000</v>
      </c>
      <c r="F11" s="6">
        <f t="shared" si="0"/>
        <v>0</v>
      </c>
      <c r="G11" s="6">
        <v>1000</v>
      </c>
      <c r="H11" s="6" t="str">
        <f t="shared" si="1"/>
        <v>Y</v>
      </c>
      <c r="I11" s="6" t="s">
        <v>19</v>
      </c>
      <c r="J11" s="6" t="s">
        <v>15</v>
      </c>
      <c r="K11" s="6" t="s">
        <v>16</v>
      </c>
      <c r="L11" s="8"/>
      <c r="M11" s="6" t="s">
        <v>17</v>
      </c>
    </row>
    <row r="12" spans="1:13" ht="43.5">
      <c r="A12" s="5" t="s">
        <v>38</v>
      </c>
      <c r="B12" s="6">
        <v>44000</v>
      </c>
      <c r="C12" s="6" t="s">
        <v>14</v>
      </c>
      <c r="D12" s="6" t="s">
        <v>19</v>
      </c>
      <c r="E12" s="6">
        <v>0</v>
      </c>
      <c r="F12" s="6">
        <f t="shared" si="0"/>
        <v>44000</v>
      </c>
      <c r="G12" s="6">
        <v>1000</v>
      </c>
      <c r="H12" s="6" t="str">
        <f t="shared" si="1"/>
        <v>N</v>
      </c>
      <c r="I12" s="6" t="s">
        <v>14</v>
      </c>
      <c r="J12" s="6" t="s">
        <v>15</v>
      </c>
      <c r="K12" s="6" t="s">
        <v>39</v>
      </c>
      <c r="L12" s="8" t="s">
        <v>33</v>
      </c>
      <c r="M12" s="5" t="s">
        <v>24</v>
      </c>
    </row>
    <row r="13" spans="1:13">
      <c r="A13" s="5" t="s">
        <v>40</v>
      </c>
      <c r="B13" s="6">
        <v>61000</v>
      </c>
      <c r="C13" s="6" t="s">
        <v>14</v>
      </c>
      <c r="D13" s="6" t="s">
        <v>14</v>
      </c>
      <c r="E13" s="6">
        <v>60000</v>
      </c>
      <c r="F13" s="6">
        <f t="shared" si="0"/>
        <v>1000</v>
      </c>
      <c r="G13" s="6">
        <v>1000</v>
      </c>
      <c r="H13" s="6" t="str">
        <f t="shared" si="1"/>
        <v>Y</v>
      </c>
      <c r="I13" s="6" t="s">
        <v>19</v>
      </c>
      <c r="J13" s="6" t="s">
        <v>15</v>
      </c>
      <c r="K13" s="6" t="s">
        <v>30</v>
      </c>
      <c r="L13" s="8"/>
      <c r="M13" s="6" t="s">
        <v>17</v>
      </c>
    </row>
    <row r="14" spans="1:13" ht="43.5">
      <c r="A14" s="5" t="s">
        <v>41</v>
      </c>
      <c r="B14" s="6">
        <v>73000</v>
      </c>
      <c r="C14" s="6" t="s">
        <v>14</v>
      </c>
      <c r="D14" s="6" t="s">
        <v>14</v>
      </c>
      <c r="E14" s="6">
        <v>70000</v>
      </c>
      <c r="F14" s="6">
        <f t="shared" si="0"/>
        <v>3000</v>
      </c>
      <c r="G14" s="6">
        <v>1000</v>
      </c>
      <c r="H14" s="6" t="str">
        <f t="shared" si="1"/>
        <v>N</v>
      </c>
      <c r="I14" s="6" t="s">
        <v>14</v>
      </c>
      <c r="J14" s="6" t="s">
        <v>15</v>
      </c>
      <c r="K14" s="6" t="s">
        <v>42</v>
      </c>
      <c r="L14" s="8" t="s">
        <v>43</v>
      </c>
      <c r="M14" s="5" t="s">
        <v>24</v>
      </c>
    </row>
    <row r="15" spans="1:13">
      <c r="A15" s="5" t="s">
        <v>44</v>
      </c>
      <c r="B15" s="6">
        <v>56000</v>
      </c>
      <c r="C15" s="6" t="s">
        <v>14</v>
      </c>
      <c r="D15" s="6" t="s">
        <v>14</v>
      </c>
      <c r="E15" s="6">
        <v>56000</v>
      </c>
      <c r="F15" s="6">
        <f t="shared" si="0"/>
        <v>0</v>
      </c>
      <c r="G15" s="6">
        <v>1000</v>
      </c>
      <c r="H15" s="6" t="str">
        <f t="shared" si="1"/>
        <v>Y</v>
      </c>
      <c r="I15" s="6" t="s">
        <v>19</v>
      </c>
      <c r="J15" s="6" t="s">
        <v>15</v>
      </c>
      <c r="K15" s="6" t="s">
        <v>16</v>
      </c>
      <c r="L15" s="8"/>
      <c r="M15" s="6" t="s">
        <v>17</v>
      </c>
    </row>
    <row r="16" spans="1:13" ht="43.5">
      <c r="A16" s="5" t="s">
        <v>45</v>
      </c>
      <c r="B16" s="6">
        <v>82000</v>
      </c>
      <c r="C16" s="6" t="s">
        <v>14</v>
      </c>
      <c r="D16" s="6" t="s">
        <v>19</v>
      </c>
      <c r="E16" s="6">
        <v>0</v>
      </c>
      <c r="F16" s="6">
        <f t="shared" si="0"/>
        <v>82000</v>
      </c>
      <c r="G16" s="6">
        <v>1000</v>
      </c>
      <c r="H16" s="6" t="str">
        <f t="shared" si="1"/>
        <v>N</v>
      </c>
      <c r="I16" s="6" t="s">
        <v>14</v>
      </c>
      <c r="J16" s="6" t="s">
        <v>15</v>
      </c>
      <c r="K16" s="6" t="s">
        <v>26</v>
      </c>
      <c r="L16" s="8" t="s">
        <v>33</v>
      </c>
      <c r="M16" s="5" t="s">
        <v>24</v>
      </c>
    </row>
    <row r="20" spans="1:1" ht="72.75">
      <c r="A20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Laksh Shardul</cp:lastModifiedBy>
  <cp:revision/>
  <dcterms:created xsi:type="dcterms:W3CDTF">2026-04-20T09:46:59Z</dcterms:created>
  <dcterms:modified xsi:type="dcterms:W3CDTF">2026-04-20T13:06:50Z</dcterms:modified>
  <cp:category/>
  <cp:contentStatus/>
</cp:coreProperties>
</file>