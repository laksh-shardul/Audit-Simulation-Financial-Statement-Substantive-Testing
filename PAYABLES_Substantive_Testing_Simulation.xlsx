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45" documentId="11_0B1D56BE9CDCCE836B02CE7A5FB0D4A9BBFD1C62" xr6:coauthVersionLast="47" xr6:coauthVersionMax="47" xr10:uidLastSave="{68557C1F-7F9A-44D9-B523-D8F6DCD3EE1F}"/>
  <bookViews>
    <workbookView xWindow="240" yWindow="105" windowWidth="14805" windowHeight="8010" xr2:uid="{00000000-000D-0000-FFFF-FFFF00000000}"/>
  </bookViews>
  <sheets>
    <sheet name="Payables Confir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3" i="1" s="1"/>
  <c r="I3" i="1" s="1"/>
  <c r="F4" i="1"/>
  <c r="H4" i="1" s="1"/>
  <c r="I4" i="1" s="1"/>
  <c r="F5" i="1"/>
  <c r="H5" i="1" s="1"/>
  <c r="I5" i="1" s="1"/>
  <c r="F6" i="1"/>
  <c r="H6" i="1" s="1"/>
  <c r="I6" i="1" s="1"/>
  <c r="F7" i="1"/>
  <c r="H7" i="1" s="1"/>
  <c r="I7" i="1" s="1"/>
  <c r="F8" i="1"/>
  <c r="H8" i="1" s="1"/>
  <c r="I8" i="1" s="1"/>
  <c r="F9" i="1"/>
  <c r="H9" i="1" s="1"/>
  <c r="I9" i="1" s="1"/>
  <c r="F10" i="1"/>
  <c r="H10" i="1" s="1"/>
  <c r="I10" i="1" s="1"/>
  <c r="F11" i="1"/>
  <c r="H11" i="1" s="1"/>
  <c r="I11" i="1" s="1"/>
  <c r="F2" i="1"/>
  <c r="H2" i="1" s="1"/>
  <c r="I2" i="1" s="1"/>
</calcChain>
</file>

<file path=xl/sharedStrings.xml><?xml version="1.0" encoding="utf-8"?>
<sst xmlns="http://schemas.openxmlformats.org/spreadsheetml/2006/main" count="79" uniqueCount="40">
  <si>
    <t xml:space="preserve">Vendor Name </t>
  </si>
  <si>
    <t xml:space="preserve"> Balance as per Books </t>
  </si>
  <si>
    <t xml:space="preserve"> Confirmation Sent (Y/N) </t>
  </si>
  <si>
    <t xml:space="preserve"> Response Received (Y/N) </t>
  </si>
  <si>
    <t xml:space="preserve"> Balance as per Vendor </t>
  </si>
  <si>
    <t xml:space="preserve"> Variance </t>
  </si>
  <si>
    <t xml:space="preserve"> Tolerance Limit </t>
  </si>
  <si>
    <t xml:space="preserve"> Within Tolerance (Y/N) </t>
  </si>
  <si>
    <t xml:space="preserve"> Follow-up Required (Y/N) </t>
  </si>
  <si>
    <t xml:space="preserve"> Assertion Tested </t>
  </si>
  <si>
    <t xml:space="preserve"> Observation </t>
  </si>
  <si>
    <t>Proposed Adjustments/Actions</t>
  </si>
  <si>
    <t xml:space="preserve"> Conclusion</t>
  </si>
  <si>
    <t xml:space="preserve">Vendor A </t>
  </si>
  <si>
    <t xml:space="preserve"> Y </t>
  </si>
  <si>
    <t xml:space="preserve"> Completeness, Accuracy </t>
  </si>
  <si>
    <t xml:space="preserve"> Balance confirmed </t>
  </si>
  <si>
    <t xml:space="preserve"> Payable fairly stated</t>
  </si>
  <si>
    <t xml:space="preserve">Vendor B </t>
  </si>
  <si>
    <t xml:space="preserve"> Variance exceeds tolerance </t>
  </si>
  <si>
    <t>Reconcile ₹2000 variance; adjust if required</t>
  </si>
  <si>
    <t>Exception identified; adjustment proposed and pending management action</t>
  </si>
  <si>
    <t xml:space="preserve">Vendor C </t>
  </si>
  <si>
    <t xml:space="preserve"> N </t>
  </si>
  <si>
    <t xml:space="preserve"> No response received </t>
  </si>
  <si>
    <t>Perform alternative procedures (subsequent payments)</t>
  </si>
  <si>
    <t xml:space="preserve">Vendor D </t>
  </si>
  <si>
    <t xml:space="preserve">Vendor E </t>
  </si>
  <si>
    <t xml:space="preserve"> Minor variance </t>
  </si>
  <si>
    <t xml:space="preserve">Vendor F </t>
  </si>
  <si>
    <t xml:space="preserve"> No response </t>
  </si>
  <si>
    <t>Perform alternative procedures</t>
  </si>
  <si>
    <t xml:space="preserve">Vendor G </t>
  </si>
  <si>
    <t xml:space="preserve"> Significant variance </t>
  </si>
  <si>
    <t>Investigate ₹3000 variance</t>
  </si>
  <si>
    <t xml:space="preserve">Vendor H </t>
  </si>
  <si>
    <t xml:space="preserve">Vendor I </t>
  </si>
  <si>
    <t xml:space="preserve">Vendor J </t>
  </si>
  <si>
    <t xml:space="preserve"> No confirmation </t>
  </si>
  <si>
    <t>Conclusion: Payables confirmation identified variances and non-responses requiring follow-up and alternative procedures. Completeness risk noted in absence of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</si>
</sst>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E1" workbookViewId="0">
      <selection activeCell="M1" sqref="M1:M11"/>
    </sheetView>
  </sheetViews>
  <sheetFormatPr defaultRowHeight="15"/>
  <cols>
    <col min="1" max="1" width="36.5703125" bestFit="1" customWidth="1"/>
    <col min="2" max="2" width="19.85546875" bestFit="1" customWidth="1"/>
    <col min="3" max="3" width="22" bestFit="1" customWidth="1"/>
    <col min="4" max="4" width="23.140625" bestFit="1" customWidth="1"/>
    <col min="5" max="5" width="20.7109375" bestFit="1" customWidth="1"/>
    <col min="6" max="6" width="12.85546875" bestFit="1" customWidth="1"/>
    <col min="8" max="8" width="20.85546875" bestFit="1" customWidth="1"/>
    <col min="9" max="9" width="24.85546875" bestFit="1" customWidth="1"/>
    <col min="10" max="10" width="23" bestFit="1" customWidth="1"/>
    <col min="11" max="11" width="25.140625" bestFit="1" customWidth="1"/>
    <col min="12" max="12" width="28.140625" bestFit="1" customWidth="1"/>
    <col min="13" max="13" width="36.5703125" bestFit="1" customWidth="1"/>
  </cols>
  <sheetData>
    <row r="1" spans="1:13" s="3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4" t="s">
        <v>12</v>
      </c>
    </row>
    <row r="2" spans="1:13">
      <c r="A2" s="1" t="s">
        <v>13</v>
      </c>
      <c r="B2">
        <v>65000</v>
      </c>
      <c r="C2" t="s">
        <v>14</v>
      </c>
      <c r="D2" t="s">
        <v>14</v>
      </c>
      <c r="E2">
        <v>65000</v>
      </c>
      <c r="F2">
        <f>ABS(B2-E2)</f>
        <v>0</v>
      </c>
      <c r="G2">
        <v>1000</v>
      </c>
      <c r="H2" t="str">
        <f>IF(F2&lt;=G2, "Y","N")</f>
        <v>Y</v>
      </c>
      <c r="I2" t="str">
        <f>IF(OR(D2="N",H2="N"), "Y","N")</f>
        <v>N</v>
      </c>
      <c r="J2" t="s">
        <v>15</v>
      </c>
      <c r="K2" t="s">
        <v>16</v>
      </c>
      <c r="L2" s="9"/>
      <c r="M2" s="5" t="s">
        <v>17</v>
      </c>
    </row>
    <row r="3" spans="1:13" ht="43.5">
      <c r="A3" s="1" t="s">
        <v>18</v>
      </c>
      <c r="B3">
        <v>82000</v>
      </c>
      <c r="C3" t="s">
        <v>14</v>
      </c>
      <c r="D3" t="s">
        <v>14</v>
      </c>
      <c r="E3">
        <v>80000</v>
      </c>
      <c r="F3">
        <f t="shared" ref="F3:F11" si="0">ABS(B3-E3)</f>
        <v>2000</v>
      </c>
      <c r="G3">
        <v>1000</v>
      </c>
      <c r="H3" t="str">
        <f t="shared" ref="H3:H11" si="1">IF(F3&lt;=G3, "Y","N")</f>
        <v>N</v>
      </c>
      <c r="I3" t="str">
        <f t="shared" ref="I3:I11" si="2">IF(OR(D3="N",H3="N"), "Y","N")</f>
        <v>Y</v>
      </c>
      <c r="J3" t="s">
        <v>15</v>
      </c>
      <c r="K3" t="s">
        <v>19</v>
      </c>
      <c r="L3" s="10" t="s">
        <v>20</v>
      </c>
      <c r="M3" s="6" t="s">
        <v>21</v>
      </c>
    </row>
    <row r="4" spans="1:13" ht="43.5">
      <c r="A4" s="1" t="s">
        <v>22</v>
      </c>
      <c r="B4">
        <v>47000</v>
      </c>
      <c r="C4" t="s">
        <v>14</v>
      </c>
      <c r="D4" t="s">
        <v>23</v>
      </c>
      <c r="E4">
        <v>0</v>
      </c>
      <c r="F4">
        <f t="shared" si="0"/>
        <v>47000</v>
      </c>
      <c r="G4">
        <v>1000</v>
      </c>
      <c r="H4" t="str">
        <f t="shared" si="1"/>
        <v>N</v>
      </c>
      <c r="I4" t="str">
        <f t="shared" si="2"/>
        <v>Y</v>
      </c>
      <c r="J4" t="s">
        <v>15</v>
      </c>
      <c r="K4" t="s">
        <v>24</v>
      </c>
      <c r="L4" s="10" t="s">
        <v>25</v>
      </c>
      <c r="M4" s="7" t="s">
        <v>21</v>
      </c>
    </row>
    <row r="5" spans="1:13">
      <c r="A5" s="1" t="s">
        <v>26</v>
      </c>
      <c r="B5">
        <v>91000</v>
      </c>
      <c r="C5" t="s">
        <v>14</v>
      </c>
      <c r="D5" t="s">
        <v>14</v>
      </c>
      <c r="E5">
        <v>91000</v>
      </c>
      <c r="F5">
        <f t="shared" si="0"/>
        <v>0</v>
      </c>
      <c r="G5">
        <v>1000</v>
      </c>
      <c r="H5" t="str">
        <f t="shared" si="1"/>
        <v>Y</v>
      </c>
      <c r="I5" t="str">
        <f t="shared" si="2"/>
        <v>N</v>
      </c>
      <c r="J5" t="s">
        <v>15</v>
      </c>
      <c r="K5" t="s">
        <v>16</v>
      </c>
      <c r="L5" s="9"/>
      <c r="M5" s="5" t="s">
        <v>17</v>
      </c>
    </row>
    <row r="6" spans="1:13">
      <c r="A6" s="1" t="s">
        <v>27</v>
      </c>
      <c r="B6">
        <v>53000</v>
      </c>
      <c r="C6" t="s">
        <v>14</v>
      </c>
      <c r="D6" t="s">
        <v>14</v>
      </c>
      <c r="E6">
        <v>52000</v>
      </c>
      <c r="F6">
        <f t="shared" si="0"/>
        <v>1000</v>
      </c>
      <c r="G6">
        <v>1000</v>
      </c>
      <c r="H6" t="str">
        <f t="shared" si="1"/>
        <v>Y</v>
      </c>
      <c r="I6" t="str">
        <f t="shared" si="2"/>
        <v>N</v>
      </c>
      <c r="J6" t="s">
        <v>15</v>
      </c>
      <c r="K6" t="s">
        <v>28</v>
      </c>
      <c r="L6" s="9"/>
      <c r="M6" s="5" t="s">
        <v>17</v>
      </c>
    </row>
    <row r="7" spans="1:13" ht="43.5">
      <c r="A7" s="1" t="s">
        <v>29</v>
      </c>
      <c r="B7">
        <v>76000</v>
      </c>
      <c r="C7" t="s">
        <v>14</v>
      </c>
      <c r="D7" t="s">
        <v>23</v>
      </c>
      <c r="E7">
        <v>0</v>
      </c>
      <c r="F7">
        <f t="shared" si="0"/>
        <v>76000</v>
      </c>
      <c r="G7">
        <v>1000</v>
      </c>
      <c r="H7" t="str">
        <f t="shared" si="1"/>
        <v>N</v>
      </c>
      <c r="I7" t="str">
        <f t="shared" si="2"/>
        <v>Y</v>
      </c>
      <c r="J7" t="s">
        <v>15</v>
      </c>
      <c r="K7" t="s">
        <v>30</v>
      </c>
      <c r="L7" s="9" t="s">
        <v>31</v>
      </c>
      <c r="M7" s="6" t="s">
        <v>21</v>
      </c>
    </row>
    <row r="8" spans="1:13" ht="43.5">
      <c r="A8" s="1" t="s">
        <v>32</v>
      </c>
      <c r="B8">
        <v>88000</v>
      </c>
      <c r="C8" t="s">
        <v>14</v>
      </c>
      <c r="D8" t="s">
        <v>14</v>
      </c>
      <c r="E8">
        <v>85000</v>
      </c>
      <c r="F8">
        <f t="shared" si="0"/>
        <v>3000</v>
      </c>
      <c r="G8">
        <v>1000</v>
      </c>
      <c r="H8" t="str">
        <f t="shared" si="1"/>
        <v>N</v>
      </c>
      <c r="I8" t="str">
        <f t="shared" si="2"/>
        <v>Y</v>
      </c>
      <c r="J8" t="s">
        <v>15</v>
      </c>
      <c r="K8" t="s">
        <v>33</v>
      </c>
      <c r="L8" s="9" t="s">
        <v>34</v>
      </c>
      <c r="M8" s="6" t="s">
        <v>21</v>
      </c>
    </row>
    <row r="9" spans="1:13">
      <c r="A9" s="1" t="s">
        <v>35</v>
      </c>
      <c r="B9">
        <v>34000</v>
      </c>
      <c r="C9" t="s">
        <v>14</v>
      </c>
      <c r="D9" t="s">
        <v>14</v>
      </c>
      <c r="E9">
        <v>34000</v>
      </c>
      <c r="F9">
        <f t="shared" si="0"/>
        <v>0</v>
      </c>
      <c r="G9">
        <v>1000</v>
      </c>
      <c r="H9" t="str">
        <f t="shared" si="1"/>
        <v>Y</v>
      </c>
      <c r="I9" t="str">
        <f t="shared" si="2"/>
        <v>N</v>
      </c>
      <c r="J9" t="s">
        <v>15</v>
      </c>
      <c r="K9" t="s">
        <v>16</v>
      </c>
      <c r="L9" s="9"/>
      <c r="M9" s="5" t="s">
        <v>17</v>
      </c>
    </row>
    <row r="10" spans="1:13">
      <c r="A10" s="1" t="s">
        <v>36</v>
      </c>
      <c r="B10">
        <v>61000</v>
      </c>
      <c r="C10" t="s">
        <v>14</v>
      </c>
      <c r="D10" t="s">
        <v>14</v>
      </c>
      <c r="E10">
        <v>60000</v>
      </c>
      <c r="F10">
        <f t="shared" si="0"/>
        <v>1000</v>
      </c>
      <c r="G10">
        <v>1000</v>
      </c>
      <c r="H10" t="str">
        <f t="shared" si="1"/>
        <v>Y</v>
      </c>
      <c r="I10" t="str">
        <f t="shared" si="2"/>
        <v>N</v>
      </c>
      <c r="J10" t="s">
        <v>15</v>
      </c>
      <c r="K10" t="s">
        <v>28</v>
      </c>
      <c r="L10" s="9"/>
      <c r="M10" s="5" t="s">
        <v>17</v>
      </c>
    </row>
    <row r="11" spans="1:13" ht="43.5">
      <c r="A11" s="1" t="s">
        <v>37</v>
      </c>
      <c r="B11">
        <v>99000</v>
      </c>
      <c r="C11" t="s">
        <v>14</v>
      </c>
      <c r="D11" t="s">
        <v>23</v>
      </c>
      <c r="E11">
        <v>0</v>
      </c>
      <c r="F11">
        <f t="shared" si="0"/>
        <v>99000</v>
      </c>
      <c r="G11">
        <v>1000</v>
      </c>
      <c r="H11" t="str">
        <f t="shared" si="1"/>
        <v>N</v>
      </c>
      <c r="I11" t="str">
        <f t="shared" si="2"/>
        <v>Y</v>
      </c>
      <c r="J11" t="s">
        <v>15</v>
      </c>
      <c r="K11" t="s">
        <v>38</v>
      </c>
      <c r="L11" s="9" t="s">
        <v>31</v>
      </c>
      <c r="M11" s="6" t="s">
        <v>21</v>
      </c>
    </row>
    <row r="20" spans="1:1" ht="72.75">
      <c r="A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 Shardul</cp:lastModifiedBy>
  <cp:revision/>
  <dcterms:created xsi:type="dcterms:W3CDTF">2026-04-20T11:01:58Z</dcterms:created>
  <dcterms:modified xsi:type="dcterms:W3CDTF">2026-04-20T13:06:56Z</dcterms:modified>
  <cp:category/>
  <cp:contentStatus/>
</cp:coreProperties>
</file>