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226" documentId="11_E60897F41BE170836B02CE998F75CCDC64E183C8" xr6:coauthVersionLast="47" xr6:coauthVersionMax="47" xr10:uidLastSave="{6A8AA05B-EBF4-4612-BAFE-5C1F60BF698E}"/>
  <bookViews>
    <workbookView xWindow="240" yWindow="105" windowWidth="14805" windowHeight="8010" xr2:uid="{00000000-000D-0000-FFFF-FFFF00000000}"/>
  </bookViews>
  <sheets>
    <sheet name="Revenue Testing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H4" i="2" s="1"/>
  <c r="F3" i="2"/>
  <c r="H3" i="2" s="1"/>
  <c r="F5" i="2"/>
  <c r="H5" i="2" s="1"/>
  <c r="F6" i="2"/>
  <c r="H6" i="2" s="1"/>
  <c r="F7" i="2"/>
  <c r="H7" i="2" s="1"/>
  <c r="F8" i="2"/>
  <c r="H8" i="2" s="1"/>
  <c r="F9" i="2"/>
  <c r="H9" i="2" s="1"/>
  <c r="F10" i="2"/>
  <c r="H10" i="2" s="1"/>
  <c r="F11" i="2"/>
  <c r="H11" i="2" s="1"/>
  <c r="F12" i="2"/>
  <c r="H12" i="2" s="1"/>
  <c r="F13" i="2"/>
  <c r="H13" i="2" s="1"/>
  <c r="F14" i="2"/>
  <c r="H14" i="2" s="1"/>
  <c r="F15" i="2"/>
  <c r="H15" i="2" s="1"/>
  <c r="F16" i="2"/>
  <c r="H16" i="2" s="1"/>
  <c r="F2" i="2"/>
  <c r="H2" i="2" s="1"/>
</calcChain>
</file>

<file path=xl/sharedStrings.xml><?xml version="1.0" encoding="utf-8"?>
<sst xmlns="http://schemas.openxmlformats.org/spreadsheetml/2006/main" count="144" uniqueCount="68">
  <si>
    <t>Invoice No</t>
  </si>
  <si>
    <t>Invoice Date</t>
  </si>
  <si>
    <t>Customer Name</t>
  </si>
  <si>
    <t>Amount</t>
  </si>
  <si>
    <t>Recorded Revenue</t>
  </si>
  <si>
    <t>Variance</t>
  </si>
  <si>
    <t>Tolerance Limit</t>
  </si>
  <si>
    <t>Within Tolerance (Y/N)</t>
  </si>
  <si>
    <t>Supporting Document (Y/N)</t>
  </si>
  <si>
    <t>Cut-off Correct? (Y/N)</t>
  </si>
  <si>
    <t>Assertions Tested</t>
  </si>
  <si>
    <t>Observation</t>
  </si>
  <si>
    <t>Proposed Adjustments/Actions</t>
  </si>
  <si>
    <t>Conclusion</t>
  </si>
  <si>
    <t xml:space="preserve">INV001 </t>
  </si>
  <si>
    <t xml:space="preserve"> 28-03-2025 </t>
  </si>
  <si>
    <t xml:space="preserve"> Alpha Ltd </t>
  </si>
  <si>
    <t xml:space="preserve"> Y </t>
  </si>
  <si>
    <t xml:space="preserve"> Occurrence, Cut-off, Accuracy </t>
  </si>
  <si>
    <t xml:space="preserve"> No exception </t>
  </si>
  <si>
    <t xml:space="preserve"> Revenue fairly stated</t>
  </si>
  <si>
    <t xml:space="preserve">INV002 </t>
  </si>
  <si>
    <t xml:space="preserve"> 29-03-2025 </t>
  </si>
  <si>
    <t xml:space="preserve"> Beta Pvt Ltd </t>
  </si>
  <si>
    <t xml:space="preserve"> Minor variance within tolerance </t>
  </si>
  <si>
    <t xml:space="preserve">INV003 </t>
  </si>
  <si>
    <t xml:space="preserve"> 30-03-2025 </t>
  </si>
  <si>
    <t xml:space="preserve"> Gamma Ltd </t>
  </si>
  <si>
    <t xml:space="preserve"> Variance exceeds tolerance </t>
  </si>
  <si>
    <t>Propose adjustment entry for ₹1000 variance</t>
  </si>
  <si>
    <t>Exception identified; adjustment proposed and pending management action</t>
  </si>
  <si>
    <t xml:space="preserve">INV004 </t>
  </si>
  <si>
    <t xml:space="preserve"> 31-03-2025 </t>
  </si>
  <si>
    <t xml:space="preserve"> Delta Pvt Ltd </t>
  </si>
  <si>
    <t xml:space="preserve"> N </t>
  </si>
  <si>
    <t xml:space="preserve"> Revenue recorded in wrong period </t>
  </si>
  <si>
    <t>Reclassify revenue to correct period (March)</t>
  </si>
  <si>
    <t xml:space="preserve">INV005 </t>
  </si>
  <si>
    <t xml:space="preserve"> 01-04-2025 </t>
  </si>
  <si>
    <t xml:space="preserve"> Epsilon Ltd </t>
  </si>
  <si>
    <t xml:space="preserve"> Revenue belongs to next period </t>
  </si>
  <si>
    <t>Defer revenue to next period (April)</t>
  </si>
  <si>
    <t xml:space="preserve">INV006 </t>
  </si>
  <si>
    <t xml:space="preserve"> Zeta Pvt Ltd </t>
  </si>
  <si>
    <t xml:space="preserve">INV007 </t>
  </si>
  <si>
    <t xml:space="preserve"> Eta Ltd </t>
  </si>
  <si>
    <t xml:space="preserve">INV008 </t>
  </si>
  <si>
    <t xml:space="preserve"> Theta Pvt Ltd </t>
  </si>
  <si>
    <t xml:space="preserve"> No supporting invoice found </t>
  </si>
  <si>
    <t>Obtain supporting invoice; if unavailable, treat as exception</t>
  </si>
  <si>
    <t xml:space="preserve">INV009 </t>
  </si>
  <si>
    <t xml:space="preserve"> Iota Ltd </t>
  </si>
  <si>
    <t xml:space="preserve">INV010 </t>
  </si>
  <si>
    <t xml:space="preserve"> Kappa Pvt Ltd </t>
  </si>
  <si>
    <t>Reclassify revenue to correct period</t>
  </si>
  <si>
    <t xml:space="preserve">INV011 </t>
  </si>
  <si>
    <t xml:space="preserve"> Lambda Ltd </t>
  </si>
  <si>
    <t xml:space="preserve">INV012 </t>
  </si>
  <si>
    <t xml:space="preserve"> Mu Pvt Ltd </t>
  </si>
  <si>
    <t xml:space="preserve">INV013 </t>
  </si>
  <si>
    <t xml:space="preserve"> Nu Ltd </t>
  </si>
  <si>
    <t xml:space="preserve">INV014 </t>
  </si>
  <si>
    <t xml:space="preserve"> Xi Pvt Ltd </t>
  </si>
  <si>
    <t xml:space="preserve">INV015 </t>
  </si>
  <si>
    <t xml:space="preserve"> Omicron Ltd </t>
  </si>
  <si>
    <t xml:space="preserve"> Variance + cut-off issue </t>
  </si>
  <si>
    <t>Adjust ₹1000 variance and correct cut-off classification</t>
  </si>
  <si>
    <t>Conclusion: Revenue testing identified cut-off errors, documentation gaps, and variances exceeding tolerance. Except for noted exceptions, revenue is fairly stated.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</si>
</sst>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rgb="FF000000"/>
      <name val="Inter Variable"/>
      <charset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2" fillId="2" borderId="0" xfId="0" applyFont="1" applyFill="1" applyBorder="1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/>
    <xf numFmtId="14" fontId="0" fillId="0" borderId="1" xfId="0" applyNumberFormat="1" applyBorder="1"/>
    <xf numFmtId="0" fontId="2" fillId="2" borderId="2" xfId="0" applyFont="1" applyFill="1" applyBorder="1"/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25770-F3A3-4878-8AD3-89519F4198C6}">
  <dimension ref="A1:N20"/>
  <sheetViews>
    <sheetView tabSelected="1" topLeftCell="H6" workbookViewId="0">
      <selection activeCell="N1" sqref="N1:N16"/>
    </sheetView>
  </sheetViews>
  <sheetFormatPr defaultRowHeight="15"/>
  <cols>
    <col min="1" max="1" width="36.5703125" bestFit="1" customWidth="1"/>
    <col min="2" max="2" width="11.7109375" bestFit="1" customWidth="1"/>
    <col min="3" max="3" width="15" bestFit="1" customWidth="1"/>
    <col min="5" max="5" width="17.28515625" bestFit="1" customWidth="1"/>
    <col min="6" max="6" width="25" bestFit="1" customWidth="1"/>
    <col min="7" max="7" width="19.85546875" bestFit="1" customWidth="1"/>
    <col min="8" max="8" width="15.42578125" bestFit="1" customWidth="1"/>
    <col min="9" max="9" width="11.5703125" bestFit="1" customWidth="1"/>
    <col min="10" max="10" width="10.42578125" bestFit="1" customWidth="1"/>
    <col min="11" max="11" width="28.85546875" customWidth="1"/>
    <col min="12" max="12" width="34" customWidth="1"/>
    <col min="13" max="13" width="38.28515625" customWidth="1"/>
    <col min="14" max="14" width="36.5703125" style="11" bestFit="1" customWidth="1"/>
  </cols>
  <sheetData>
    <row r="1" spans="1:14" s="4" customFormat="1" ht="70.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8" t="s">
        <v>12</v>
      </c>
      <c r="N1" s="6" t="s">
        <v>13</v>
      </c>
    </row>
    <row r="2" spans="1:14">
      <c r="A2" s="2" t="s">
        <v>14</v>
      </c>
      <c r="B2" s="7" t="s">
        <v>15</v>
      </c>
      <c r="C2" s="1" t="s">
        <v>16</v>
      </c>
      <c r="D2" s="1">
        <v>12000</v>
      </c>
      <c r="E2" s="1">
        <v>12000</v>
      </c>
      <c r="F2" s="1">
        <f>ABS(D2-E2)</f>
        <v>0</v>
      </c>
      <c r="G2" s="1">
        <v>500</v>
      </c>
      <c r="H2" s="1" t="str">
        <f>IF(F2&lt;=G2,"Y","N")</f>
        <v>Y</v>
      </c>
      <c r="I2" s="1" t="s">
        <v>17</v>
      </c>
      <c r="J2" s="1" t="s">
        <v>17</v>
      </c>
      <c r="K2" s="1" t="s">
        <v>18</v>
      </c>
      <c r="L2" s="1" t="s">
        <v>19</v>
      </c>
      <c r="M2" s="9"/>
      <c r="N2" s="1" t="s">
        <v>20</v>
      </c>
    </row>
    <row r="3" spans="1:14">
      <c r="A3" s="2" t="s">
        <v>21</v>
      </c>
      <c r="B3" s="7" t="s">
        <v>22</v>
      </c>
      <c r="C3" s="1" t="s">
        <v>23</v>
      </c>
      <c r="D3" s="1">
        <v>18500</v>
      </c>
      <c r="E3" s="1">
        <v>18000</v>
      </c>
      <c r="F3" s="1">
        <f>ABS(D3-E3)</f>
        <v>500</v>
      </c>
      <c r="G3" s="1">
        <v>500</v>
      </c>
      <c r="H3" s="1" t="str">
        <f t="shared" ref="H3:H16" si="0">IF(F3&lt;=G3,"Y","N")</f>
        <v>Y</v>
      </c>
      <c r="I3" s="1" t="s">
        <v>17</v>
      </c>
      <c r="J3" s="1" t="s">
        <v>17</v>
      </c>
      <c r="K3" s="1" t="s">
        <v>18</v>
      </c>
      <c r="L3" s="1" t="s">
        <v>24</v>
      </c>
      <c r="M3" s="9"/>
      <c r="N3" s="1" t="s">
        <v>20</v>
      </c>
    </row>
    <row r="4" spans="1:14" ht="45.75">
      <c r="A4" s="2" t="s">
        <v>25</v>
      </c>
      <c r="B4" s="7" t="s">
        <v>26</v>
      </c>
      <c r="C4" s="1" t="s">
        <v>27</v>
      </c>
      <c r="D4" s="1">
        <v>22000</v>
      </c>
      <c r="E4" s="1">
        <v>21000</v>
      </c>
      <c r="F4" s="1">
        <f>ABS(D4-E4)</f>
        <v>1000</v>
      </c>
      <c r="G4" s="1">
        <v>500</v>
      </c>
      <c r="H4" s="1" t="str">
        <f t="shared" si="0"/>
        <v>N</v>
      </c>
      <c r="I4" s="1" t="s">
        <v>17</v>
      </c>
      <c r="J4" s="1" t="s">
        <v>17</v>
      </c>
      <c r="K4" s="1" t="s">
        <v>18</v>
      </c>
      <c r="L4" s="1" t="s">
        <v>28</v>
      </c>
      <c r="M4" s="10" t="s">
        <v>29</v>
      </c>
      <c r="N4" s="2" t="s">
        <v>30</v>
      </c>
    </row>
    <row r="5" spans="1:14" ht="45.75">
      <c r="A5" s="2" t="s">
        <v>31</v>
      </c>
      <c r="B5" s="7" t="s">
        <v>32</v>
      </c>
      <c r="C5" s="1" t="s">
        <v>33</v>
      </c>
      <c r="D5" s="1">
        <v>15000</v>
      </c>
      <c r="E5" s="1">
        <v>15000</v>
      </c>
      <c r="F5" s="1">
        <f t="shared" ref="F3:F16" si="1">ABS(D5-E5)</f>
        <v>0</v>
      </c>
      <c r="G5" s="1">
        <v>500</v>
      </c>
      <c r="H5" s="1" t="str">
        <f t="shared" si="0"/>
        <v>Y</v>
      </c>
      <c r="I5" s="1" t="s">
        <v>17</v>
      </c>
      <c r="J5" s="1" t="s">
        <v>34</v>
      </c>
      <c r="K5" s="1" t="s">
        <v>18</v>
      </c>
      <c r="L5" s="1" t="s">
        <v>35</v>
      </c>
      <c r="M5" s="10" t="s">
        <v>36</v>
      </c>
      <c r="N5" s="2" t="s">
        <v>30</v>
      </c>
    </row>
    <row r="6" spans="1:14" ht="45.75">
      <c r="A6" s="2" t="s">
        <v>37</v>
      </c>
      <c r="B6" s="7" t="s">
        <v>38</v>
      </c>
      <c r="C6" s="1" t="s">
        <v>39</v>
      </c>
      <c r="D6" s="1">
        <v>27000</v>
      </c>
      <c r="E6" s="1">
        <v>27000</v>
      </c>
      <c r="F6" s="1">
        <f t="shared" si="1"/>
        <v>0</v>
      </c>
      <c r="G6" s="1">
        <v>500</v>
      </c>
      <c r="H6" s="1" t="str">
        <f t="shared" si="0"/>
        <v>Y</v>
      </c>
      <c r="I6" s="1" t="s">
        <v>17</v>
      </c>
      <c r="J6" s="1" t="s">
        <v>34</v>
      </c>
      <c r="K6" s="1" t="s">
        <v>18</v>
      </c>
      <c r="L6" s="1" t="s">
        <v>40</v>
      </c>
      <c r="M6" s="9" t="s">
        <v>41</v>
      </c>
      <c r="N6" s="2" t="s">
        <v>30</v>
      </c>
    </row>
    <row r="7" spans="1:14">
      <c r="A7" s="2" t="s">
        <v>42</v>
      </c>
      <c r="B7" s="7" t="s">
        <v>15</v>
      </c>
      <c r="C7" s="1" t="s">
        <v>43</v>
      </c>
      <c r="D7" s="1">
        <v>9000</v>
      </c>
      <c r="E7" s="1">
        <v>9000</v>
      </c>
      <c r="F7" s="1">
        <f t="shared" si="1"/>
        <v>0</v>
      </c>
      <c r="G7" s="1">
        <v>500</v>
      </c>
      <c r="H7" s="1" t="str">
        <f t="shared" si="0"/>
        <v>Y</v>
      </c>
      <c r="I7" s="1" t="s">
        <v>17</v>
      </c>
      <c r="J7" s="1" t="s">
        <v>17</v>
      </c>
      <c r="K7" s="1" t="s">
        <v>18</v>
      </c>
      <c r="L7" s="1" t="s">
        <v>19</v>
      </c>
      <c r="M7" s="9"/>
      <c r="N7" s="1" t="s">
        <v>20</v>
      </c>
    </row>
    <row r="8" spans="1:14" ht="45.75">
      <c r="A8" s="2" t="s">
        <v>44</v>
      </c>
      <c r="B8" s="7" t="s">
        <v>22</v>
      </c>
      <c r="C8" s="1" t="s">
        <v>45</v>
      </c>
      <c r="D8" s="1">
        <v>31000</v>
      </c>
      <c r="E8" s="1">
        <v>30000</v>
      </c>
      <c r="F8" s="1">
        <f t="shared" si="1"/>
        <v>1000</v>
      </c>
      <c r="G8" s="1">
        <v>500</v>
      </c>
      <c r="H8" s="1" t="str">
        <f t="shared" si="0"/>
        <v>N</v>
      </c>
      <c r="I8" s="1" t="s">
        <v>17</v>
      </c>
      <c r="J8" s="1" t="s">
        <v>17</v>
      </c>
      <c r="K8" s="1" t="s">
        <v>18</v>
      </c>
      <c r="L8" s="1" t="s">
        <v>28</v>
      </c>
      <c r="M8" s="10" t="s">
        <v>29</v>
      </c>
      <c r="N8" s="2" t="s">
        <v>30</v>
      </c>
    </row>
    <row r="9" spans="1:14" ht="45.75">
      <c r="A9" s="2" t="s">
        <v>46</v>
      </c>
      <c r="B9" s="7" t="s">
        <v>26</v>
      </c>
      <c r="C9" s="1" t="s">
        <v>47</v>
      </c>
      <c r="D9" s="1">
        <v>14500</v>
      </c>
      <c r="E9" s="1">
        <v>14500</v>
      </c>
      <c r="F9" s="1">
        <f t="shared" si="1"/>
        <v>0</v>
      </c>
      <c r="G9" s="1">
        <v>500</v>
      </c>
      <c r="H9" s="1" t="str">
        <f t="shared" si="0"/>
        <v>Y</v>
      </c>
      <c r="I9" s="1" t="s">
        <v>34</v>
      </c>
      <c r="J9" s="1" t="s">
        <v>17</v>
      </c>
      <c r="K9" s="1" t="s">
        <v>18</v>
      </c>
      <c r="L9" s="1" t="s">
        <v>48</v>
      </c>
      <c r="M9" s="10" t="s">
        <v>49</v>
      </c>
      <c r="N9" s="2" t="s">
        <v>30</v>
      </c>
    </row>
    <row r="10" spans="1:14">
      <c r="A10" s="2" t="s">
        <v>50</v>
      </c>
      <c r="B10" s="7" t="s">
        <v>32</v>
      </c>
      <c r="C10" s="1" t="s">
        <v>51</v>
      </c>
      <c r="D10" s="1">
        <v>38000</v>
      </c>
      <c r="E10" s="1">
        <v>38000</v>
      </c>
      <c r="F10" s="1">
        <f t="shared" si="1"/>
        <v>0</v>
      </c>
      <c r="G10" s="1">
        <v>500</v>
      </c>
      <c r="H10" s="1" t="str">
        <f t="shared" si="0"/>
        <v>Y</v>
      </c>
      <c r="I10" s="1" t="s">
        <v>17</v>
      </c>
      <c r="J10" s="1" t="s">
        <v>17</v>
      </c>
      <c r="K10" s="1" t="s">
        <v>18</v>
      </c>
      <c r="L10" s="1" t="s">
        <v>19</v>
      </c>
      <c r="M10" s="9"/>
      <c r="N10" s="1" t="s">
        <v>20</v>
      </c>
    </row>
    <row r="11" spans="1:14" ht="45.75">
      <c r="A11" s="2" t="s">
        <v>52</v>
      </c>
      <c r="B11" s="7" t="s">
        <v>38</v>
      </c>
      <c r="C11" s="1" t="s">
        <v>53</v>
      </c>
      <c r="D11" s="1">
        <v>42000</v>
      </c>
      <c r="E11" s="1">
        <v>42000</v>
      </c>
      <c r="F11" s="1">
        <f t="shared" si="1"/>
        <v>0</v>
      </c>
      <c r="G11" s="1">
        <v>500</v>
      </c>
      <c r="H11" s="1" t="str">
        <f t="shared" si="0"/>
        <v>Y</v>
      </c>
      <c r="I11" s="1" t="s">
        <v>17</v>
      </c>
      <c r="J11" s="1" t="s">
        <v>34</v>
      </c>
      <c r="K11" s="1" t="s">
        <v>18</v>
      </c>
      <c r="L11" s="1" t="s">
        <v>35</v>
      </c>
      <c r="M11" s="9" t="s">
        <v>54</v>
      </c>
      <c r="N11" s="2" t="s">
        <v>30</v>
      </c>
    </row>
    <row r="12" spans="1:14">
      <c r="A12" s="2" t="s">
        <v>55</v>
      </c>
      <c r="B12" s="7" t="s">
        <v>15</v>
      </c>
      <c r="C12" s="1" t="s">
        <v>56</v>
      </c>
      <c r="D12" s="1">
        <v>25000</v>
      </c>
      <c r="E12" s="1">
        <v>25000</v>
      </c>
      <c r="F12" s="1">
        <f t="shared" si="1"/>
        <v>0</v>
      </c>
      <c r="G12" s="1">
        <v>500</v>
      </c>
      <c r="H12" s="1" t="str">
        <f t="shared" si="0"/>
        <v>Y</v>
      </c>
      <c r="I12" s="1" t="s">
        <v>17</v>
      </c>
      <c r="J12" s="1" t="s">
        <v>17</v>
      </c>
      <c r="K12" s="1" t="s">
        <v>18</v>
      </c>
      <c r="L12" s="1" t="s">
        <v>19</v>
      </c>
      <c r="M12" s="10"/>
      <c r="N12" s="1" t="s">
        <v>20</v>
      </c>
    </row>
    <row r="13" spans="1:14" ht="45.75">
      <c r="A13" s="2" t="s">
        <v>57</v>
      </c>
      <c r="B13" s="7" t="s">
        <v>22</v>
      </c>
      <c r="C13" s="1" t="s">
        <v>58</v>
      </c>
      <c r="D13" s="1">
        <v>33000</v>
      </c>
      <c r="E13" s="1">
        <v>32000</v>
      </c>
      <c r="F13" s="1">
        <f t="shared" si="1"/>
        <v>1000</v>
      </c>
      <c r="G13" s="1">
        <v>500</v>
      </c>
      <c r="H13" s="1" t="str">
        <f t="shared" si="0"/>
        <v>N</v>
      </c>
      <c r="I13" s="1" t="s">
        <v>17</v>
      </c>
      <c r="J13" s="1" t="s">
        <v>17</v>
      </c>
      <c r="K13" s="1" t="s">
        <v>18</v>
      </c>
      <c r="L13" s="1" t="s">
        <v>28</v>
      </c>
      <c r="M13" s="10" t="s">
        <v>29</v>
      </c>
      <c r="N13" s="2" t="s">
        <v>30</v>
      </c>
    </row>
    <row r="14" spans="1:14">
      <c r="A14" s="2" t="s">
        <v>59</v>
      </c>
      <c r="B14" s="7" t="s">
        <v>26</v>
      </c>
      <c r="C14" s="1" t="s">
        <v>60</v>
      </c>
      <c r="D14" s="1">
        <v>17500</v>
      </c>
      <c r="E14" s="1">
        <v>17500</v>
      </c>
      <c r="F14" s="1">
        <f t="shared" si="1"/>
        <v>0</v>
      </c>
      <c r="G14" s="1">
        <v>500</v>
      </c>
      <c r="H14" s="1" t="str">
        <f t="shared" si="0"/>
        <v>Y</v>
      </c>
      <c r="I14" s="1" t="s">
        <v>17</v>
      </c>
      <c r="J14" s="1" t="s">
        <v>17</v>
      </c>
      <c r="K14" s="1" t="s">
        <v>18</v>
      </c>
      <c r="L14" s="1" t="s">
        <v>19</v>
      </c>
      <c r="M14" s="9"/>
      <c r="N14" s="1" t="s">
        <v>20</v>
      </c>
    </row>
    <row r="15" spans="1:14" ht="45.75">
      <c r="A15" s="2" t="s">
        <v>61</v>
      </c>
      <c r="B15" s="7" t="s">
        <v>32</v>
      </c>
      <c r="C15" s="1" t="s">
        <v>62</v>
      </c>
      <c r="D15" s="1">
        <v>29000</v>
      </c>
      <c r="E15" s="1">
        <v>29000</v>
      </c>
      <c r="F15" s="1">
        <f t="shared" si="1"/>
        <v>0</v>
      </c>
      <c r="G15" s="1">
        <v>500</v>
      </c>
      <c r="H15" s="1" t="str">
        <f t="shared" si="0"/>
        <v>Y</v>
      </c>
      <c r="I15" s="1" t="s">
        <v>34</v>
      </c>
      <c r="J15" s="1" t="s">
        <v>17</v>
      </c>
      <c r="K15" s="1" t="s">
        <v>18</v>
      </c>
      <c r="L15" s="1" t="s">
        <v>48</v>
      </c>
      <c r="M15" s="10" t="s">
        <v>49</v>
      </c>
      <c r="N15" s="2" t="s">
        <v>30</v>
      </c>
    </row>
    <row r="16" spans="1:14" ht="45.75">
      <c r="A16" s="2" t="s">
        <v>63</v>
      </c>
      <c r="B16" s="7" t="s">
        <v>38</v>
      </c>
      <c r="C16" s="1" t="s">
        <v>64</v>
      </c>
      <c r="D16" s="1">
        <v>36000</v>
      </c>
      <c r="E16" s="1">
        <v>35000</v>
      </c>
      <c r="F16" s="1">
        <f t="shared" si="1"/>
        <v>1000</v>
      </c>
      <c r="G16" s="1">
        <v>500</v>
      </c>
      <c r="H16" s="1" t="str">
        <f t="shared" si="0"/>
        <v>N</v>
      </c>
      <c r="I16" s="1" t="s">
        <v>17</v>
      </c>
      <c r="J16" s="1" t="s">
        <v>34</v>
      </c>
      <c r="K16" s="1" t="s">
        <v>18</v>
      </c>
      <c r="L16" s="1" t="s">
        <v>65</v>
      </c>
      <c r="M16" s="10" t="s">
        <v>66</v>
      </c>
      <c r="N16" s="2" t="s">
        <v>30</v>
      </c>
    </row>
    <row r="20" spans="1:1" ht="76.5">
      <c r="A20" s="3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Laksh Shardul</cp:lastModifiedBy>
  <cp:revision/>
  <dcterms:created xsi:type="dcterms:W3CDTF">2026-04-20T07:00:55Z</dcterms:created>
  <dcterms:modified xsi:type="dcterms:W3CDTF">2026-04-20T13:06:16Z</dcterms:modified>
  <cp:category/>
  <cp:contentStatus/>
</cp:coreProperties>
</file>